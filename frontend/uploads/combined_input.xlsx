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cgtaxinternai/Downloads/Xero_samples/potential_received /"/>
    </mc:Choice>
  </mc:AlternateContent>
  <xr:revisionPtr revIDLastSave="0" documentId="13_ncr:1_{66966EEE-AA1E-7F47-81D0-F8F8EE443F8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&amp;L" sheetId="1" r:id="rId1"/>
    <sheet name="Balance 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3" i="3" l="1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199" i="3"/>
  <c r="T200" i="3"/>
  <c r="T201" i="3"/>
  <c r="T202" i="3"/>
  <c r="T198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65" i="3"/>
  <c r="T4" i="3"/>
  <c r="T292" i="3" l="1"/>
  <c r="T293" i="3" s="1"/>
  <c r="H18" i="1" l="1"/>
  <c r="H12" i="1"/>
  <c r="H13" i="1"/>
  <c r="H14" i="1"/>
  <c r="H15" i="1"/>
  <c r="H16" i="1"/>
  <c r="H17" i="1"/>
  <c r="H19" i="1"/>
  <c r="H20" i="1"/>
  <c r="H11" i="1"/>
  <c r="H5" i="1"/>
  <c r="H6" i="1"/>
  <c r="H4" i="1"/>
  <c r="O312" i="3" l="1"/>
  <c r="Q3" i="3" l="1"/>
  <c r="Q4" i="3"/>
  <c r="Q5" i="3"/>
  <c r="Q6" i="3"/>
  <c r="Q7" i="3"/>
  <c r="H8" i="1"/>
  <c r="H22" i="1" l="1"/>
  <c r="H24" i="1" s="1"/>
</calcChain>
</file>

<file path=xl/sharedStrings.xml><?xml version="1.0" encoding="utf-8"?>
<sst xmlns="http://schemas.openxmlformats.org/spreadsheetml/2006/main" count="969" uniqueCount="673">
  <si>
    <t>Income</t>
  </si>
  <si>
    <t>Sales</t>
  </si>
  <si>
    <t>40000     -Sales</t>
  </si>
  <si>
    <t>40100     -Yachting Sales</t>
  </si>
  <si>
    <t>40110     -Dinghy Sales</t>
  </si>
  <si>
    <t>40120     -Paddle Sales</t>
  </si>
  <si>
    <t>40300     -Licensee Commission Charges</t>
  </si>
  <si>
    <t>42000     -Cash Discount</t>
  </si>
  <si>
    <t>42100     -Sponsorship Revenue</t>
  </si>
  <si>
    <t>42101     -Sponsorship Revenue- EOM Adj</t>
  </si>
  <si>
    <t>42200     -Sponsorship Revenue- Sponsorship of Volvo Ocean Race</t>
  </si>
  <si>
    <t>Total Sales</t>
  </si>
  <si>
    <t>Freight Income</t>
  </si>
  <si>
    <t>40500     -Freight Income</t>
  </si>
  <si>
    <t>Total Freight</t>
  </si>
  <si>
    <t>Customisation Income</t>
  </si>
  <si>
    <t>40550     -Customisation</t>
  </si>
  <si>
    <t>Total Customisation</t>
  </si>
  <si>
    <t>Other Income</t>
  </si>
  <si>
    <t>40600     -Miscellaneous Sales</t>
  </si>
  <si>
    <t>40601     -Gain or Loss on Sale of Patents</t>
  </si>
  <si>
    <t>40602     -Gain or Loss on Sale of Fixed Assets</t>
  </si>
  <si>
    <t>40610     -Restocking Fee</t>
  </si>
  <si>
    <t>40620     -NZ Web Licence Fee</t>
  </si>
  <si>
    <t>40625     -CAD Web Licence Fee</t>
  </si>
  <si>
    <t>40626     -US Web Licence Fee</t>
  </si>
  <si>
    <t>40630     -Rebates Given</t>
  </si>
  <si>
    <t>40640     -POS</t>
  </si>
  <si>
    <t>47206     -Web Discount</t>
  </si>
  <si>
    <t>47350     -Gift Cards</t>
  </si>
  <si>
    <t>47355     -Warranty Revenue</t>
  </si>
  <si>
    <t>47730     -Late Charges</t>
  </si>
  <si>
    <t>47853     -Boot-700 Rebate</t>
  </si>
  <si>
    <t>48100     -R &amp; D Tax Concession Income</t>
  </si>
  <si>
    <t>48200     -NZ Wage Subsidy</t>
  </si>
  <si>
    <t>48300     -Cash Flow Boosting</t>
  </si>
  <si>
    <t>Total Other Income</t>
  </si>
  <si>
    <t>Miscellaneous Sales</t>
  </si>
  <si>
    <t>40350     -Currency Gain Loss</t>
  </si>
  <si>
    <t>40360     -Interest Income</t>
  </si>
  <si>
    <t>40370     -Government Grants Received</t>
  </si>
  <si>
    <t>40380     -Proceeds from Insurance Claims</t>
  </si>
  <si>
    <t>Total Misc Sales</t>
  </si>
  <si>
    <t>Total Income</t>
  </si>
  <si>
    <t>Cost of Sales</t>
  </si>
  <si>
    <t>50000     -Cost of Goods Sold</t>
  </si>
  <si>
    <t>50100     -COGS - Yachting</t>
  </si>
  <si>
    <t>50110     -COGS - Dinghy</t>
  </si>
  <si>
    <t>50120     -COGS - Paddle</t>
  </si>
  <si>
    <t>50230     -COGS- Consignment inventory- Audit FY18 Adjustment</t>
  </si>
  <si>
    <t>50231     -COGS- Zhik US</t>
  </si>
  <si>
    <t>50300     -Standard Cost Revaluation</t>
  </si>
  <si>
    <t>50310     -Purchase Price Variance</t>
  </si>
  <si>
    <t>50320     -Landed Cost Variance</t>
  </si>
  <si>
    <t>50321     -Surcharge</t>
  </si>
  <si>
    <t>50400     -Lost in Transit</t>
  </si>
  <si>
    <t>50640     -COGS - POS</t>
  </si>
  <si>
    <t>53000     -Direct Project Labour Costs</t>
  </si>
  <si>
    <t>53500     -Subcontracting Direct to Projects</t>
  </si>
  <si>
    <t>59045     -Discounts Given</t>
  </si>
  <si>
    <t>59046     -COGS- Sponsorship</t>
  </si>
  <si>
    <t>59047     -COGS- Sponsorship of Volvo Ocean Race</t>
  </si>
  <si>
    <t>59048     -COGS- Sponsorship- EOM Adj</t>
  </si>
  <si>
    <t>59049     -Amortisation-Materials/freight/landed cost to be capitalized</t>
  </si>
  <si>
    <t>Total Cost of Sales</t>
  </si>
  <si>
    <t>Freight Cost of Sales</t>
  </si>
  <si>
    <t>50500     -Freight - Customer Delivery</t>
  </si>
  <si>
    <t>50525     -Duty- Customer Delivery</t>
  </si>
  <si>
    <t>50800     -NZ Customs (Duty)</t>
  </si>
  <si>
    <t>50801     -AU Customs (Duty)</t>
  </si>
  <si>
    <t>50802     -UK Customs (Duty)</t>
  </si>
  <si>
    <t>50900     -EURO Customs (Duty)</t>
  </si>
  <si>
    <t>Total Freight Cost of Sales</t>
  </si>
  <si>
    <t>Customisation Cost of Sales</t>
  </si>
  <si>
    <t>50550     -Customisation</t>
  </si>
  <si>
    <t>Total Customisation Cost of Sales</t>
  </si>
  <si>
    <t>Other Cost of Sales</t>
  </si>
  <si>
    <t>50600     -Miscellaneous COGS</t>
  </si>
  <si>
    <t>Total Other Cost of Sales</t>
  </si>
  <si>
    <t>Rebates</t>
  </si>
  <si>
    <t>50700     -Rebates Received</t>
  </si>
  <si>
    <t>Total Rebates</t>
  </si>
  <si>
    <t>Warranty</t>
  </si>
  <si>
    <t>51000     -Warranty Returns</t>
  </si>
  <si>
    <t>51100     -Warranty Expenses</t>
  </si>
  <si>
    <t>Total Warranty</t>
  </si>
  <si>
    <t>Gross Profit</t>
  </si>
  <si>
    <t>Expenses</t>
  </si>
  <si>
    <t>Employment Expenses</t>
  </si>
  <si>
    <t>60110     -Wages &amp; Salaries</t>
  </si>
  <si>
    <t>60111     -Consultants - Australia</t>
  </si>
  <si>
    <t>60112     -Consultants - USA</t>
  </si>
  <si>
    <t>60113     -Consultants - Europe</t>
  </si>
  <si>
    <t>60114     -Consultants - Asia</t>
  </si>
  <si>
    <t>60115     -R &amp; D Consultants</t>
  </si>
  <si>
    <t>60117     -Consultants - New Zealand</t>
  </si>
  <si>
    <t>60118     -Job Keeper</t>
  </si>
  <si>
    <t>60120     -Superannuation</t>
  </si>
  <si>
    <t>60125     -Holiday Leave Accrual</t>
  </si>
  <si>
    <t>60126     -Holiday Leave Taken</t>
  </si>
  <si>
    <t>60128     -Long Service Leave Accrued</t>
  </si>
  <si>
    <t>60129     -Long Service Leave Taken</t>
  </si>
  <si>
    <t>60132     -Payroll Tax Accrued</t>
  </si>
  <si>
    <t>60133     -Payroll tax reduction</t>
  </si>
  <si>
    <t>60140     -Bonuses</t>
  </si>
  <si>
    <t>60150     -Fringe Benefits Tax</t>
  </si>
  <si>
    <t>60160     -Workers Compensation</t>
  </si>
  <si>
    <t>60170     -Recruitment Costs</t>
  </si>
  <si>
    <t>60175     -Directors Fees</t>
  </si>
  <si>
    <t>60176     -Share based payment expense</t>
  </si>
  <si>
    <t>60180     -Training Costs</t>
  </si>
  <si>
    <t>60185     -Uniforms</t>
  </si>
  <si>
    <t>60190     -Gifts</t>
  </si>
  <si>
    <t>60195     -Salaries and Wages Project Reallocation</t>
  </si>
  <si>
    <t>60198     -Redundancy Notice</t>
  </si>
  <si>
    <t>Total Employment Expenses</t>
  </si>
  <si>
    <t>Utilities and Occupancy</t>
  </si>
  <si>
    <t>60210     -Electricity</t>
  </si>
  <si>
    <t>60220     -Water</t>
  </si>
  <si>
    <t>60230     -Telephone</t>
  </si>
  <si>
    <t>60240     -Internet Costs</t>
  </si>
  <si>
    <t>60250     -Rent</t>
  </si>
  <si>
    <t>60251     -Outgoings</t>
  </si>
  <si>
    <t>60260     -Cleaning and Maintenance</t>
  </si>
  <si>
    <t>60270     -Refurbishment</t>
  </si>
  <si>
    <t>60280     -Rates</t>
  </si>
  <si>
    <t>60281     -Removal Cost</t>
  </si>
  <si>
    <t>60282     -Forklift rent</t>
  </si>
  <si>
    <t>60283     -Make Good Liability</t>
  </si>
  <si>
    <t>Total Utilities and Occupancy</t>
  </si>
  <si>
    <t>General Administration Expense</t>
  </si>
  <si>
    <t>60310     -Office Supplies</t>
  </si>
  <si>
    <t>60320     -Office Food Supplies</t>
  </si>
  <si>
    <t>60322     -Donations</t>
  </si>
  <si>
    <t>60323     -Meeting Expenses</t>
  </si>
  <si>
    <t>60324     -Entertainment Expenses - GST</t>
  </si>
  <si>
    <t>60325     -Entertainment Expenses - Non GST</t>
  </si>
  <si>
    <t>60326     -Workshop Expenses</t>
  </si>
  <si>
    <t>60340     -Stationery</t>
  </si>
  <si>
    <t>60350     -Computer maintenance</t>
  </si>
  <si>
    <t>60360     -Bar code costs</t>
  </si>
  <si>
    <t>60399     -Migration Variances</t>
  </si>
  <si>
    <t>60400     -General and administration costs</t>
  </si>
  <si>
    <t>60401     -Overhead Costs- Zhik US</t>
  </si>
  <si>
    <t>Total General Administration Expense</t>
  </si>
  <si>
    <t>Automobile and Trailer Costs</t>
  </si>
  <si>
    <t>60410     -Car Van Trailer</t>
  </si>
  <si>
    <t>60420     -Parking</t>
  </si>
  <si>
    <t>60430     -Petrol and Diesel</t>
  </si>
  <si>
    <t>60440     -Registration</t>
  </si>
  <si>
    <t>60445     -Taxis</t>
  </si>
  <si>
    <t>60450     -Tolls</t>
  </si>
  <si>
    <t>60460     -Service and Maintenance</t>
  </si>
  <si>
    <t>60470     -Insurance</t>
  </si>
  <si>
    <t>Total Automobile and Trailer Costs</t>
  </si>
  <si>
    <t>Marketing and Promotions</t>
  </si>
  <si>
    <t>60500     -Trade Advertising account</t>
  </si>
  <si>
    <t>60505     -Advertising</t>
  </si>
  <si>
    <t>60510     -Art Work/ Online Content and Photography</t>
  </si>
  <si>
    <t>60515     -Trade Show Expenses</t>
  </si>
  <si>
    <t>60520     -Marketing Stock</t>
  </si>
  <si>
    <t>60525     -Dues and Subscriptions</t>
  </si>
  <si>
    <t>60526     -Screen Printing</t>
  </si>
  <si>
    <t>60530     -Promotional Events</t>
  </si>
  <si>
    <t>60531     -Advertising Agency</t>
  </si>
  <si>
    <t>60532     -Catalogues</t>
  </si>
  <si>
    <t>60533     -Athlete Affiliate Sale Commissions</t>
  </si>
  <si>
    <t>60534     -Public Relations</t>
  </si>
  <si>
    <t>60535     -Agency Retainer</t>
  </si>
  <si>
    <t>60536     -Media commission</t>
  </si>
  <si>
    <t>60537     -SEO Services</t>
  </si>
  <si>
    <t>60538     -Amazon Fees</t>
  </si>
  <si>
    <t>60539     -Photography Expenses</t>
  </si>
  <si>
    <t>60540     -Promotional Giveaway</t>
  </si>
  <si>
    <t>60541     -Event prizes/giveaway</t>
  </si>
  <si>
    <t>60542     -PR Expenses</t>
  </si>
  <si>
    <t>60543     -Influencer VIK gear</t>
  </si>
  <si>
    <t>60544     -Agency CRO Services</t>
  </si>
  <si>
    <t>Total Marketing and Promotions</t>
  </si>
  <si>
    <t>Sponsorship Expense</t>
  </si>
  <si>
    <t>60550     -Sponsorship Gear</t>
  </si>
  <si>
    <t>60551     -AST Sponsorship</t>
  </si>
  <si>
    <t>60552     -NZLST VIK</t>
  </si>
  <si>
    <t>60553     -SINST Sponsorship</t>
  </si>
  <si>
    <t>60554     -RSYS Sponsorship</t>
  </si>
  <si>
    <t>60556     -OC Sport Sponsorship</t>
  </si>
  <si>
    <t>60557     -DST Sponsorship</t>
  </si>
  <si>
    <t>60558     -NZLST Sponsorship</t>
  </si>
  <si>
    <t>60559     -Zhik Individual Sponsorship</t>
  </si>
  <si>
    <t>60560     -Sponsorship management software</t>
  </si>
  <si>
    <t>60561     -Team Spirit Racing (Paprec-Arkea IMOCA)</t>
  </si>
  <si>
    <t>60580     -VIK (Value in Kind)</t>
  </si>
  <si>
    <t>60581     -Club Z VIK</t>
  </si>
  <si>
    <t>60584     -Extreme Sailing VIK</t>
  </si>
  <si>
    <t>60585     -Sailing Aust VIK</t>
  </si>
  <si>
    <t>60586     -Zhik Individual VIK</t>
  </si>
  <si>
    <t>60598     -Event Sponsorship</t>
  </si>
  <si>
    <t>60599     -Alex Thomson Sponsorship</t>
  </si>
  <si>
    <t>60600     -International Moth Class Sponsorship</t>
  </si>
  <si>
    <t>60601     -International 29er Class Sponsorship</t>
  </si>
  <si>
    <t>60602     -Yacht Teams Sponsorship</t>
  </si>
  <si>
    <t>60603     -Making Waves Foundation – Sponsorship</t>
  </si>
  <si>
    <t>60604     -Voucher- Adj for EOM</t>
  </si>
  <si>
    <t>60605     -Unrecovered YNZ GST (Orders&lt;$1k)</t>
  </si>
  <si>
    <t>60606     -Sponsorship- Adj for EOM</t>
  </si>
  <si>
    <t>60607     -New opportunites</t>
  </si>
  <si>
    <t>60608     -Tactical</t>
  </si>
  <si>
    <t>Total Sponsorship Expense</t>
  </si>
  <si>
    <t>IT Expenses</t>
  </si>
  <si>
    <t>60610     -Internet Domains</t>
  </si>
  <si>
    <t>60612     -MYOB Advanced</t>
  </si>
  <si>
    <t>60615     -Software Licensing</t>
  </si>
  <si>
    <t>60620     -Web Development</t>
  </si>
  <si>
    <t>60625     -IT Hardware</t>
  </si>
  <si>
    <t>60630     -Hosting Costs</t>
  </si>
  <si>
    <t>60631     -Website Translation- Italy</t>
  </si>
  <si>
    <t>60632     -IT Projects Consultants</t>
  </si>
  <si>
    <t>Total IT Expenses</t>
  </si>
  <si>
    <t>Travel Expenses</t>
  </si>
  <si>
    <t>60700     -Flights</t>
  </si>
  <si>
    <t>60705     -Car Rental</t>
  </si>
  <si>
    <t>60710     -Petrol and Diesel</t>
  </si>
  <si>
    <t>60715     -Tolls</t>
  </si>
  <si>
    <t>60720     -Meals</t>
  </si>
  <si>
    <t>60725     -Accommodation</t>
  </si>
  <si>
    <t>60730     -Transport</t>
  </si>
  <si>
    <t>60735     -Parking</t>
  </si>
  <si>
    <t>60736     -Travel Expenses General</t>
  </si>
  <si>
    <t>60737     -Travel Expenses -Credit Cards</t>
  </si>
  <si>
    <t>Total Travel Expenses</t>
  </si>
  <si>
    <t>Insurance</t>
  </si>
  <si>
    <t>60800     -Travel Insurance</t>
  </si>
  <si>
    <t>60805     -Business Insurance</t>
  </si>
  <si>
    <t>60810     -General/Product Liability Insu</t>
  </si>
  <si>
    <t>60815     -Directors Indemnity Insurance</t>
  </si>
  <si>
    <t>60820     -Marine Cargo Insurance</t>
  </si>
  <si>
    <t>60825     -Key Executive Insurance</t>
  </si>
  <si>
    <t>60830     -Plant and Equipment Insurance</t>
  </si>
  <si>
    <t>60835     -Stock Insurance</t>
  </si>
  <si>
    <t>60840     -Debtor Insurance</t>
  </si>
  <si>
    <t>Total Insurance</t>
  </si>
  <si>
    <t>Business Services</t>
  </si>
  <si>
    <t>60900     -Consulting Fees</t>
  </si>
  <si>
    <t>60901     -Patent Legal</t>
  </si>
  <si>
    <t>60902     -Patent Fees</t>
  </si>
  <si>
    <t>60903     -Filing Fees</t>
  </si>
  <si>
    <t>60904     -Intellectual Property Services</t>
  </si>
  <si>
    <t>60905     -Audit Fees</t>
  </si>
  <si>
    <t>60906     -Accounting Services</t>
  </si>
  <si>
    <t>60910     -Legal Services</t>
  </si>
  <si>
    <t>60920     -Export Finance Fees</t>
  </si>
  <si>
    <t>60921     -Export Finance Interests</t>
  </si>
  <si>
    <t>60922     -Working Capital Facility (Charges)</t>
  </si>
  <si>
    <t>60923     -Working Capital Facility (Interests)</t>
  </si>
  <si>
    <t>60924     -Establishment Fees</t>
  </si>
  <si>
    <t>Total Business Services</t>
  </si>
  <si>
    <t>Design Costs</t>
  </si>
  <si>
    <t>61000     -Samples</t>
  </si>
  <si>
    <t>61001     -Quotation Samples</t>
  </si>
  <si>
    <t>61005     -Samples Freight Expenses</t>
  </si>
  <si>
    <t>61010     -Design Room Expenses</t>
  </si>
  <si>
    <t>61015     -Materials</t>
  </si>
  <si>
    <t>61020     -Prototype Services</t>
  </si>
  <si>
    <t>61025     -Equipment</t>
  </si>
  <si>
    <t>61030     -Mould Charges</t>
  </si>
  <si>
    <t>61035     -Research &amp; Development</t>
  </si>
  <si>
    <t>61115     -Fabric</t>
  </si>
  <si>
    <t>61116     -Certificates</t>
  </si>
  <si>
    <t>Total Design Costs</t>
  </si>
  <si>
    <t>Banking and Finance</t>
  </si>
  <si>
    <t>61200     -Bank Charges</t>
  </si>
  <si>
    <t>61205     -Merchant Fees</t>
  </si>
  <si>
    <t>61206     -Rounding from customers</t>
  </si>
  <si>
    <t>61207     -ScotPac Fees</t>
  </si>
  <si>
    <t>Total Banking and Finance</t>
  </si>
  <si>
    <t>Stock Adjustments</t>
  </si>
  <si>
    <t>61300     -AUS Cycle Count</t>
  </si>
  <si>
    <t>61301     -EUR Cycle Count</t>
  </si>
  <si>
    <t>61302     -USA Cycle Count</t>
  </si>
  <si>
    <t>61305     -OTHER Cycle Count</t>
  </si>
  <si>
    <t>61320     -Pilferage</t>
  </si>
  <si>
    <t>61325     -Internet Fraud</t>
  </si>
  <si>
    <t>61330     -Destroyed Stock</t>
  </si>
  <si>
    <t>61335     -Picking Errors</t>
  </si>
  <si>
    <t>61340     -AUS Stock Take</t>
  </si>
  <si>
    <t>61341     -EUR Stock Take</t>
  </si>
  <si>
    <t>61342     -USA Stock Take</t>
  </si>
  <si>
    <t>61345     -OTHER Stock Take</t>
  </si>
  <si>
    <t>61350     -AUS Consignment Adj</t>
  </si>
  <si>
    <t>61351     -EUR Consignment Adj</t>
  </si>
  <si>
    <t>61352     -USA Consignment Adj</t>
  </si>
  <si>
    <t>61355     -OTHER Consignment Adj</t>
  </si>
  <si>
    <t>61360     -Obselete Stock</t>
  </si>
  <si>
    <t>61365     -Production Variance</t>
  </si>
  <si>
    <t>61370     -Stock Reconciliation</t>
  </si>
  <si>
    <t>61375     -Faulty Stock</t>
  </si>
  <si>
    <t>Stock Total Adjustments</t>
  </si>
  <si>
    <t>Freight and Packaging</t>
  </si>
  <si>
    <t>61400     -Packaging Supplies AUS</t>
  </si>
  <si>
    <t>61401     -Packaging Materials EU</t>
  </si>
  <si>
    <t>61402     -Packaging Materials USA</t>
  </si>
  <si>
    <t>61403     -Picking &amp; Packaging Materials UK</t>
  </si>
  <si>
    <t>61405     -Courier Costs ON Purchases</t>
  </si>
  <si>
    <t>61410     -Freight Costs on Transfers</t>
  </si>
  <si>
    <t>61411     -USA Bond Fee</t>
  </si>
  <si>
    <t>61420     -Freight</t>
  </si>
  <si>
    <t>Total Freight and Packaging</t>
  </si>
  <si>
    <t>Commissions</t>
  </si>
  <si>
    <t>61500     -Commission EUR</t>
  </si>
  <si>
    <t>61501     -Commission UK</t>
  </si>
  <si>
    <t>61502     -Commission USA</t>
  </si>
  <si>
    <t>61503     -Commission AUS</t>
  </si>
  <si>
    <t>61506     -Commission South Africa</t>
  </si>
  <si>
    <t>Total Commissions</t>
  </si>
  <si>
    <t>Bad Debts</t>
  </si>
  <si>
    <t>61600     -Bad Debts Written Off</t>
  </si>
  <si>
    <t>61605     -Provision for Doubtful Debts</t>
  </si>
  <si>
    <t>Total Bad Debts</t>
  </si>
  <si>
    <t>Exchange Gains/Losses</t>
  </si>
  <si>
    <t>52000     -Rounding Gain/Loss</t>
  </si>
  <si>
    <t>52010     -Realised Gain/Loss</t>
  </si>
  <si>
    <t>52020     -Revaluation Gain/Loss</t>
  </si>
  <si>
    <t>52030     -Translation Gain / Loss</t>
  </si>
  <si>
    <t>Total Exchange Gains/Losses</t>
  </si>
  <si>
    <t>Total Expenses</t>
  </si>
  <si>
    <t>EBITDA</t>
  </si>
  <si>
    <t>Depreciation &amp; Amortisation</t>
  </si>
  <si>
    <t>EBIT</t>
  </si>
  <si>
    <t>Interest Expense</t>
  </si>
  <si>
    <t>Tax Expense</t>
  </si>
  <si>
    <t>Net Profit / (Loss)</t>
  </si>
  <si>
    <t>ITR Label</t>
  </si>
  <si>
    <t>6F</t>
  </si>
  <si>
    <t>ITR Totals</t>
  </si>
  <si>
    <t>Inc - 6C</t>
  </si>
  <si>
    <t>Inc - 6 - Other</t>
  </si>
  <si>
    <t>Inc - 6 - Int</t>
  </si>
  <si>
    <t>Exp - 6A</t>
  </si>
  <si>
    <t>Exp - 6C</t>
  </si>
  <si>
    <t>Exp - 6H</t>
  </si>
  <si>
    <t>Exp - 6Y</t>
  </si>
  <si>
    <t>Exp - 6D</t>
  </si>
  <si>
    <t>Exp - 6E</t>
  </si>
  <si>
    <t>Exp - 6Z</t>
  </si>
  <si>
    <t>Exp 6S</t>
  </si>
  <si>
    <t>Exp - 6S</t>
  </si>
  <si>
    <t>Exp - 6V</t>
  </si>
  <si>
    <t>Exp - 6X</t>
  </si>
  <si>
    <t>TOTAL INCOME</t>
  </si>
  <si>
    <t>TOTAL EXPENSES</t>
  </si>
  <si>
    <t>PRE TAX PROFIT/(LOSS)</t>
  </si>
  <si>
    <t>Cash at Bank</t>
  </si>
  <si>
    <t>11100     -Cash-In-Transit</t>
  </si>
  <si>
    <t>11110     -CBA Cheque Account</t>
  </si>
  <si>
    <t>11111     -NAB AUD Account</t>
  </si>
  <si>
    <t>11112     -ING Investment Account</t>
  </si>
  <si>
    <t>11113     -Airwallex AUD</t>
  </si>
  <si>
    <t>11115     -Undeposited Funds</t>
  </si>
  <si>
    <t>11116     -Currency Transfer Holding</t>
  </si>
  <si>
    <t>11117     -AUD Petty Cash</t>
  </si>
  <si>
    <t>11118     -WBC Trading Account</t>
  </si>
  <si>
    <t>11119     -AUD PayPal</t>
  </si>
  <si>
    <t>11210     -ABN AMRO USD Account</t>
  </si>
  <si>
    <t>11220     -NAB USD Account</t>
  </si>
  <si>
    <t>11222     -USD PayPal</t>
  </si>
  <si>
    <t>11223     -Airwallex USD</t>
  </si>
  <si>
    <t>11224     -JP Morgan Chase USD</t>
  </si>
  <si>
    <t>11226     -Bank Fx</t>
  </si>
  <si>
    <t>11228     -USA Unbanked Cheques</t>
  </si>
  <si>
    <t>11230     -BB&amp;T USD Wire Account</t>
  </si>
  <si>
    <t>11235     -BB&amp;T USD Operating Account</t>
  </si>
  <si>
    <t>11240     -US Contra</t>
  </si>
  <si>
    <t>11250     -USD Petty Cash</t>
  </si>
  <si>
    <t>11252     -US Cash with Roy</t>
  </si>
  <si>
    <t>11253     -Cash with Judy</t>
  </si>
  <si>
    <t>11260     -WBC USD Account</t>
  </si>
  <si>
    <t>11285     -Wells Fargo USD Account</t>
  </si>
  <si>
    <t>11288     -Charleston Float Exchange</t>
  </si>
  <si>
    <t>11310     -ABN AMRO Euro Account</t>
  </si>
  <si>
    <t>11320     -NAB EUR Account</t>
  </si>
  <si>
    <t>11322     -EUR Paypal</t>
  </si>
  <si>
    <t>11323     -Airwallex EUR</t>
  </si>
  <si>
    <t>11340     -Ake Cash Euro Account</t>
  </si>
  <si>
    <t>11350     -Euro Petty Cash</t>
  </si>
  <si>
    <t>11410     -ABN AMRO GBP Account</t>
  </si>
  <si>
    <t>11415     -HSBC GBP Account</t>
  </si>
  <si>
    <t>11416     -Airwallex GBP</t>
  </si>
  <si>
    <t>11417     -NAB GBP Account</t>
  </si>
  <si>
    <t>11419     -GBP PayPal</t>
  </si>
  <si>
    <t>11430     -GBP Petty Cash</t>
  </si>
  <si>
    <t>11510     -ASB NZ Cheque Account</t>
  </si>
  <si>
    <t>11515     -NAB NZD Account</t>
  </si>
  <si>
    <t>11517     -NZD PayPal</t>
  </si>
  <si>
    <t>11520     -ASB NZ Business Saver</t>
  </si>
  <si>
    <t>11530     -Airwallex NZD</t>
  </si>
  <si>
    <t>11610     -NAB CAD Account</t>
  </si>
  <si>
    <t>11611     -Zhik CSF -Airwallex AUD</t>
  </si>
  <si>
    <t>11710     -AUD Unreconciled Deposits</t>
  </si>
  <si>
    <t>11720     -EUR Unreconciled Deposits</t>
  </si>
  <si>
    <t>11730     -GBP Unreconciled Deposits</t>
  </si>
  <si>
    <t>11740     -NZD Unreconciled Deposits</t>
  </si>
  <si>
    <t>11750     -USD Unreconciled Deposits</t>
  </si>
  <si>
    <t>11760     -AUD Amazon Deposits</t>
  </si>
  <si>
    <t>11770     -EUR Amazon Deposits</t>
  </si>
  <si>
    <t>11780     -GBP Amazon Deposits</t>
  </si>
  <si>
    <t>11781     -CBA ZAR Accounts</t>
  </si>
  <si>
    <t>Total Cash at Bank</t>
  </si>
  <si>
    <t>Receivables</t>
  </si>
  <si>
    <t>14210     -AUD Account Receivable</t>
  </si>
  <si>
    <t>14220     -EUR Account Receivable</t>
  </si>
  <si>
    <t>14230     -USD Account Receivable</t>
  </si>
  <si>
    <t>14232     -USD- Internet USA  Account Receivable</t>
  </si>
  <si>
    <t>14240     -GBP Account Receivable</t>
  </si>
  <si>
    <t>14250     -NZD Account Receivable</t>
  </si>
  <si>
    <t>14260     -CAD Account Receivable</t>
  </si>
  <si>
    <t>14268     -ZAR Account Receivable</t>
  </si>
  <si>
    <t>14900     -Unbilled AR (Projects)</t>
  </si>
  <si>
    <t>14211     -AUD Account Receivable</t>
  </si>
  <si>
    <t>14221     -EUR Account Receivable</t>
  </si>
  <si>
    <t>14231     -USD Account Receivable</t>
  </si>
  <si>
    <t>14241     -GBP Account Receivable</t>
  </si>
  <si>
    <t>14251     -NZD Account Receivable</t>
  </si>
  <si>
    <t>14261     -CAD Account Receivable</t>
  </si>
  <si>
    <t>14262     -Account Receivable FX</t>
  </si>
  <si>
    <t>14263     -Account Receivable</t>
  </si>
  <si>
    <t>14264     -Capital Due on Partly Paid</t>
  </si>
  <si>
    <t>14265     -Holding Account- Atradius</t>
  </si>
  <si>
    <t>14266     -Interest capitalized from Capital Due on Partly Paid</t>
  </si>
  <si>
    <t>14267     -Account Receivable- Reconciliation</t>
  </si>
  <si>
    <t>14269     -ZAR Account Receivable</t>
  </si>
  <si>
    <t>14280     -Tax Refund Due</t>
  </si>
  <si>
    <t>Total Receivables</t>
  </si>
  <si>
    <t>Inventory</t>
  </si>
  <si>
    <t>15000     -Inventory AUS</t>
  </si>
  <si>
    <t>15010     -Inventory USA</t>
  </si>
  <si>
    <t>15020     -Inventory EUR</t>
  </si>
  <si>
    <t>15030     -Inventory NZ</t>
  </si>
  <si>
    <t>15040     -Inventory China</t>
  </si>
  <si>
    <t>15050     -Inventory UK</t>
  </si>
  <si>
    <t>15100     -Inventory POS</t>
  </si>
  <si>
    <t>15520     -In-Transit Zhik Warehouse</t>
  </si>
  <si>
    <t>15530     -In-Transit External</t>
  </si>
  <si>
    <t>15535     -Consignment Inventory- Audit FY18 Adjustment</t>
  </si>
  <si>
    <t>15536     -Inventory In Transit</t>
  </si>
  <si>
    <t>15540     -Freight to be Capitalised</t>
  </si>
  <si>
    <t>15550     -Duty to be Capitalised</t>
  </si>
  <si>
    <t>15560     -Materials to be Capitalised</t>
  </si>
  <si>
    <t>15570     -Material Deposit</t>
  </si>
  <si>
    <t>15700     -Standard Cost Variance</t>
  </si>
  <si>
    <t>Total Inventory</t>
  </si>
  <si>
    <t>Patents &amp; Trademarks</t>
  </si>
  <si>
    <t>Total Patents &amp; Trademarks</t>
  </si>
  <si>
    <t>Intangible Assets</t>
  </si>
  <si>
    <t>16100     -Patents - At Cost</t>
  </si>
  <si>
    <t>16101     -Patents - Acc Dep</t>
  </si>
  <si>
    <t>16110     -Patent Legal Fees - At Cost</t>
  </si>
  <si>
    <t>16111     -Patent Legal Fees - Amortize</t>
  </si>
  <si>
    <t>16120     -Web Dev - At Cost</t>
  </si>
  <si>
    <t>16121     -Web Dev - Acc Dep</t>
  </si>
  <si>
    <t>16130     -Systems - At Cost</t>
  </si>
  <si>
    <t>16131     -Systems - Acc Dep</t>
  </si>
  <si>
    <t>16140     -Certificates- At Cost</t>
  </si>
  <si>
    <t>16141     -Certificates- Amortize</t>
  </si>
  <si>
    <t>16150     -Goodwill- At Cost</t>
  </si>
  <si>
    <t>16160     -Goodwill- Amortize</t>
  </si>
  <si>
    <t>16170     -Trade Mark- At Cost</t>
  </si>
  <si>
    <t>16171     -Trade Mark- Amortize</t>
  </si>
  <si>
    <t>16306     -Other FA</t>
  </si>
  <si>
    <t>16307     -Other FA Dep'n</t>
  </si>
  <si>
    <t>Total Intangible Assets</t>
  </si>
  <si>
    <t>Other Current Assets</t>
  </si>
  <si>
    <t>16200     -Dickson Ave Bond G'tee</t>
  </si>
  <si>
    <t>16215     -73 Whiting St Bank G'tee</t>
  </si>
  <si>
    <t>16216     -39 Hebert Street, Bank G'tee</t>
  </si>
  <si>
    <t>16220     -Printer Deposit</t>
  </si>
  <si>
    <t>16230     -Brian Payable</t>
  </si>
  <si>
    <t>16240     -Deposits Paid</t>
  </si>
  <si>
    <t>16250     -PrePaid Business Pack Insuranc</t>
  </si>
  <si>
    <t>16260     -PrePaid Liability Insurance</t>
  </si>
  <si>
    <t>16270     -PrePaid Marine Cargo Insurance</t>
  </si>
  <si>
    <t>16280     -PrePaid Travel Insurance</t>
  </si>
  <si>
    <t>16290     -PrePaid Stock Insurance</t>
  </si>
  <si>
    <t>16295     -Prepaid Debtor Risk Insurance</t>
  </si>
  <si>
    <t>16298     -Prepaid Expenses</t>
  </si>
  <si>
    <t>16299     -Supplier Prepayments</t>
  </si>
  <si>
    <t>16539     -Prepaid Sponsorship Contributions</t>
  </si>
  <si>
    <t>16561     -Sundry Receivables</t>
  </si>
  <si>
    <t>16000     -Work In-Progress (Projects)</t>
  </si>
  <si>
    <t>Total Other Current Assets</t>
  </si>
  <si>
    <t>Non-Current Assets</t>
  </si>
  <si>
    <t>ESP Loan</t>
  </si>
  <si>
    <t>Total Non-Current Assets</t>
  </si>
  <si>
    <t>Fixed Assets</t>
  </si>
  <si>
    <t>16300     -Property, Plant &amp; Equipment [PPE] at Cost</t>
  </si>
  <si>
    <t>16301     -P &amp; E Accum Dep'n</t>
  </si>
  <si>
    <t>16302     -Leasehold Improvement</t>
  </si>
  <si>
    <t>16303     -Leasehold Improvement Dep'n</t>
  </si>
  <si>
    <t>16304     -Design &amp; Marketing Equipment</t>
  </si>
  <si>
    <t>16305     -Design &amp; Marketing Equipment Dep'n</t>
  </si>
  <si>
    <t>16308     -Furniture &amp; Fittings</t>
  </si>
  <si>
    <t>16309     -Furniture &amp; Fittings Dep'n</t>
  </si>
  <si>
    <t>16310     -IT Equipment</t>
  </si>
  <si>
    <t>16311     -IT Equipment Dep'n</t>
  </si>
  <si>
    <t>16390     -Fixed Asset Accrual</t>
  </si>
  <si>
    <t>16400     -Right of Use Asset -AASB16</t>
  </si>
  <si>
    <t>16401     -Right of Use Asset -AASB16 Acc Dep</t>
  </si>
  <si>
    <t>Total Fixed Assets</t>
  </si>
  <si>
    <t>Total Assets</t>
  </si>
  <si>
    <t>Liabilities</t>
  </si>
  <si>
    <t>Payables</t>
  </si>
  <si>
    <t>21100     -Accounts Payable AUD</t>
  </si>
  <si>
    <t>21105     -Supplier Prepayments</t>
  </si>
  <si>
    <t>21110     -Accounts Payable EUR</t>
  </si>
  <si>
    <t>21120     -Accounts Payable USD</t>
  </si>
  <si>
    <t>21130     -Accounts Payable GBP</t>
  </si>
  <si>
    <t>21140     -Accounts Payable NZD</t>
  </si>
  <si>
    <t>21150     -Accounts Payable CAD</t>
  </si>
  <si>
    <t>21152     -Account Payable ZAR</t>
  </si>
  <si>
    <t>21101     -Accounts Payable AUD</t>
  </si>
  <si>
    <t>21102     -Reuben Amex</t>
  </si>
  <si>
    <t>21103     -Altitude Credit Card</t>
  </si>
  <si>
    <t>21104     -Account Payable FX</t>
  </si>
  <si>
    <t>21111     -Accounts Payable EUR</t>
  </si>
  <si>
    <t>21121     -Accounts Payable USD</t>
  </si>
  <si>
    <t>21131     -Accounts Payable GBP</t>
  </si>
  <si>
    <t>21141     -Accounts Payable NZD</t>
  </si>
  <si>
    <t>21151     -Accounts Payable CAD</t>
  </si>
  <si>
    <t>21153     -Account Payable ZAR</t>
  </si>
  <si>
    <t>Total Payables</t>
  </si>
  <si>
    <t>Payroll Liabilities</t>
  </si>
  <si>
    <t>21200     -Superannuation Payable</t>
  </si>
  <si>
    <t>21210     -Workers Compensation Payable</t>
  </si>
  <si>
    <t>21220     -Provision for LS Leave</t>
  </si>
  <si>
    <t>21225     -Payroll Tax Accrued</t>
  </si>
  <si>
    <t>21230     -Payroll Clearing</t>
  </si>
  <si>
    <t>21250     -Provision for Holiday Leave</t>
  </si>
  <si>
    <t>Total Payroll Liabilities</t>
  </si>
  <si>
    <t>Vouchers and Deposits</t>
  </si>
  <si>
    <t>21160     -Working Capital Loan (Current Liabilities)</t>
  </si>
  <si>
    <t>21161     -Working Capital Loan -Interest (Current Liabilities)</t>
  </si>
  <si>
    <t>21170     -Wayflyer Loan</t>
  </si>
  <si>
    <t>21171     -Wayflyer Loan- Interest</t>
  </si>
  <si>
    <t>21300     -AUD Vouchers</t>
  </si>
  <si>
    <t>21310     -EUR Vouchers</t>
  </si>
  <si>
    <t>21320     -USD Vouchers</t>
  </si>
  <si>
    <t>21330     -GBP Vouchers</t>
  </si>
  <si>
    <t>21340     -NZD Vouchers</t>
  </si>
  <si>
    <t>21391     -NZL ST Vouchers</t>
  </si>
  <si>
    <t>21392     -Zhik Individual Voucher</t>
  </si>
  <si>
    <t>21393     -Voucher Adj for EOM</t>
  </si>
  <si>
    <t>21394     -CAD Vouchers</t>
  </si>
  <si>
    <t>21400     -Customer Deposits AUD</t>
  </si>
  <si>
    <t>21410     -Customer Deposits - Euro</t>
  </si>
  <si>
    <t>21420     -Customer Deposits GBP</t>
  </si>
  <si>
    <t>21430     -Customer Deposits - NZD</t>
  </si>
  <si>
    <t>21440     -Customer Deposits USD</t>
  </si>
  <si>
    <t>21441     -Customer Deposit CAD</t>
  </si>
  <si>
    <t>21442     -Customer Deposit ZAR</t>
  </si>
  <si>
    <t>21443     -Customer Deposits</t>
  </si>
  <si>
    <t>21450     -PO Accrual</t>
  </si>
  <si>
    <t>21451     -Make Good Liability Herbert Street</t>
  </si>
  <si>
    <t>22175     -NZ Web Licence Fee</t>
  </si>
  <si>
    <t>22176     -CAD Web Licence Fee</t>
  </si>
  <si>
    <t>22177     -USD Web Licence Fee</t>
  </si>
  <si>
    <t>23000     -Landed Cost Accrual</t>
  </si>
  <si>
    <t>24000     -Unrecognized Revenue (Projects)</t>
  </si>
  <si>
    <t>Total Vouchers and Deposits</t>
  </si>
  <si>
    <t>Tax Liabilities</t>
  </si>
  <si>
    <t>21500     -GST Collected</t>
  </si>
  <si>
    <t>21501     -Canada GST Collected</t>
  </si>
  <si>
    <t>21505     -BTW Collected</t>
  </si>
  <si>
    <t>21510     -GST NZ Collected</t>
  </si>
  <si>
    <t>21515     -Sales Tax USA Collected</t>
  </si>
  <si>
    <t>21520     -UK VAT Collected</t>
  </si>
  <si>
    <t>21525     -ZAR VAT Collected</t>
  </si>
  <si>
    <t>21550     -GST Output Tax Adjustments</t>
  </si>
  <si>
    <t>21555     -BTW Output Tax Adjustments</t>
  </si>
  <si>
    <t>21560     -GST NZ Output Tax Adjustments</t>
  </si>
  <si>
    <t>21565     -Sales Tax USA Output Tax Adjustments</t>
  </si>
  <si>
    <t>21570     -UK VAT Output Tax Adjustments</t>
  </si>
  <si>
    <t>21600     -GST Paid</t>
  </si>
  <si>
    <t>21601     -Canada GST Paid</t>
  </si>
  <si>
    <t>21605     -BTW Paid</t>
  </si>
  <si>
    <t>21610     -GST NZ Paid</t>
  </si>
  <si>
    <t>21615     -Sales Tax USA Paid</t>
  </si>
  <si>
    <t>21620     -UK VAT Paid</t>
  </si>
  <si>
    <t>21625     -ZAR VAT Paid</t>
  </si>
  <si>
    <t>21650     -GST Input Tax Adjustments</t>
  </si>
  <si>
    <t>21655     -BTW Input Tax Adjustments</t>
  </si>
  <si>
    <t>21660     -GST NZ Input Tax Adjustments</t>
  </si>
  <si>
    <t>21665     -Sales Tax USA Input Tax Adjustments</t>
  </si>
  <si>
    <t>21670     -UK VAT Input Tax Adjustments</t>
  </si>
  <si>
    <t>21675     -PAYG Payable</t>
  </si>
  <si>
    <t>21676     -PAYG Payable NZ</t>
  </si>
  <si>
    <t>21677     -Current Tax Payable</t>
  </si>
  <si>
    <t>Total Tax Liabilities</t>
  </si>
  <si>
    <t>Provisions</t>
  </si>
  <si>
    <t>21700     -Povision for Obselete Stock</t>
  </si>
  <si>
    <t>21705     -Provision for Stocktake</t>
  </si>
  <si>
    <t>21710     -General Accruals</t>
  </si>
  <si>
    <t>21715     -Provision for Commission</t>
  </si>
  <si>
    <t>21720     -Directors Fees</t>
  </si>
  <si>
    <t>21725     -Provision for Doubtful Debts</t>
  </si>
  <si>
    <t>21730     -Audit Fee Accrual</t>
  </si>
  <si>
    <t>21731     -Accrual COGS Sponsorship- EOM Adj</t>
  </si>
  <si>
    <t>21735     -Lease Liability- AASB 16</t>
  </si>
  <si>
    <t>Total Provisions</t>
  </si>
  <si>
    <t>Total Current Liabilities</t>
  </si>
  <si>
    <t>Non-Current Liabilities</t>
  </si>
  <si>
    <t>22000     -Working Capital Loan</t>
  </si>
  <si>
    <t>22010     -Accumulated Interest Working Capital Loan</t>
  </si>
  <si>
    <t>22011     -Trade/Export Finance AUD</t>
  </si>
  <si>
    <t>22012     -Trade Finance EUR</t>
  </si>
  <si>
    <t>22015     -Nightingale Trade Finance</t>
  </si>
  <si>
    <t>22050     -Trade Finance Interest</t>
  </si>
  <si>
    <t>22055     -Export Finance Facility</t>
  </si>
  <si>
    <t>22060     -BC  Interest</t>
  </si>
  <si>
    <t>22100     -Intercompany (Aus)</t>
  </si>
  <si>
    <t>22200     -Intercompany (US)</t>
  </si>
  <si>
    <t>22300     -Intercompany (Freight AUS to US)</t>
  </si>
  <si>
    <t>22305     -Intercompany (Duty AUS to US)</t>
  </si>
  <si>
    <t>22350     -Intercompany (Freight AUS to CAD)</t>
  </si>
  <si>
    <t>22355     -Intercompany (Duty AUS to CAD)</t>
  </si>
  <si>
    <t>22651     -Owed To BC</t>
  </si>
  <si>
    <t>Lease Liabilities</t>
  </si>
  <si>
    <t>22700     -Lease Liabilities- AASB16 (non-current)</t>
  </si>
  <si>
    <t>Total Lease Liabilities</t>
  </si>
  <si>
    <t>Total Non-Current Liabilities</t>
  </si>
  <si>
    <t>Total Liabilities</t>
  </si>
  <si>
    <t>Net Assets</t>
  </si>
  <si>
    <t>Equity</t>
  </si>
  <si>
    <t>Owner's/Shareholder's Equity</t>
  </si>
  <si>
    <t>30000     -Owner's/Sharehldr Capital</t>
  </si>
  <si>
    <t>30001     -Drawings</t>
  </si>
  <si>
    <t>30002     -Reserves</t>
  </si>
  <si>
    <t>Total Owner's/Shareholder's Equity</t>
  </si>
  <si>
    <t>38000     -Retained Earnings</t>
  </si>
  <si>
    <t>39000     -YTD Net Income</t>
  </si>
  <si>
    <t>Per Signed Audit report RE of -$1,858,401. Difference of $25,642 is Income Tax Expense</t>
  </si>
  <si>
    <t>Total Equity</t>
  </si>
  <si>
    <t>Check (should be 0)</t>
  </si>
  <si>
    <t>8D</t>
  </si>
  <si>
    <t>8C</t>
  </si>
  <si>
    <t>6E</t>
  </si>
  <si>
    <t>8G</t>
  </si>
  <si>
    <t>Negative liabilities to be included in assets for ITR disclosures</t>
  </si>
  <si>
    <t>40130     -Elements Sales</t>
  </si>
  <si>
    <t>40140     -Accessories Sales</t>
  </si>
  <si>
    <t>40200     -Rowing Sales</t>
  </si>
  <si>
    <t>40210     -Spare 01 Sales</t>
  </si>
  <si>
    <t>40220     -Spare 02 Sales</t>
  </si>
  <si>
    <t>40525     -UK Import Income</t>
  </si>
  <si>
    <t>40627     -Club Sales</t>
  </si>
  <si>
    <t>40628     -Club Shop Fulfilment</t>
  </si>
  <si>
    <t>50130     -COGS -  Elements</t>
  </si>
  <si>
    <t>50140     -COGS - Accessories</t>
  </si>
  <si>
    <t>50200     -COGS - Rowing</t>
  </si>
  <si>
    <t>50220     -COGS - Spare 02</t>
  </si>
  <si>
    <t>50530     -UK Import Fees</t>
  </si>
  <si>
    <t>50645     -COGS- Club</t>
  </si>
  <si>
    <t>60555     -AUS Fut Sponsorship VIK</t>
  </si>
  <si>
    <t>60582     -Paddle Australia VIK</t>
  </si>
  <si>
    <t>60583     -Canoe New Zealand VIK</t>
  </si>
  <si>
    <t>11531     -Airwalllex CAD</t>
  </si>
  <si>
    <t>11782     -AMEX Account</t>
  </si>
  <si>
    <t>15710     -Inventory Club</t>
  </si>
  <si>
    <t>16210     -Dickson Bond G'tee</t>
  </si>
  <si>
    <t>16402     -Leasehold improvements (Right Of Use Asset) cost</t>
  </si>
  <si>
    <t>16403     -Lease improvements (Right Of Use Asset) Acc Depreciation</t>
  </si>
  <si>
    <t>21460     -EU Migration Offset Account</t>
  </si>
  <si>
    <t>23100     -Club Shop Customer Deposits</t>
  </si>
  <si>
    <t>22250     -Intercompany (EU)</t>
  </si>
  <si>
    <t>ITR Label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</si>
</sst>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;\-##,##0;\-"/>
  </numFmts>
  <fonts count="8">
    <font>
      <sz val="9"/>
      <name val="Tahoma"/>
    </font>
    <font>
      <sz val="9"/>
      <color rgb="FF000000"/>
      <name val="calibri                       "/>
    </font>
    <font>
      <b/>
      <sz val="12"/>
      <color rgb="FF000000"/>
      <name val="calibri                       "/>
    </font>
    <font>
      <b/>
      <sz val="9"/>
      <color rgb="FF000000"/>
      <name val="calibri                       "/>
    </font>
    <font>
      <b/>
      <sz val="11"/>
      <color rgb="FF000000"/>
      <name val="calibri                       "/>
    </font>
    <font>
      <b/>
      <sz val="9"/>
      <name val="Tahoma"/>
      <family val="2"/>
    </font>
    <font>
      <sz val="9"/>
      <name val="Tahoma"/>
      <family val="2"/>
    </font>
    <font>
      <sz val="7"/>
      <name val="calibri                       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auto="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 applyAlignment="0"/>
    <xf numFmtId="0" fontId="1" fillId="2" borderId="1" applyAlignment="0"/>
    <xf numFmtId="0" fontId="1" fillId="2" borderId="1">
      <alignment horizontal="left" vertical="top" wrapText="1"/>
    </xf>
    <xf numFmtId="0" fontId="2" fillId="2" borderId="1" applyAlignment="0"/>
    <xf numFmtId="0" fontId="2" fillId="2" borderId="1">
      <alignment horizontal="left" vertical="top" wrapText="1"/>
    </xf>
    <xf numFmtId="0" fontId="3" fillId="2" borderId="1" applyAlignment="0"/>
    <xf numFmtId="0" fontId="3" fillId="2" borderId="1">
      <alignment horizontal="left" vertical="top" wrapText="1"/>
    </xf>
    <xf numFmtId="0" fontId="1" fillId="2" borderId="1">
      <alignment horizontal="right" vertical="top" wrapText="1"/>
    </xf>
    <xf numFmtId="164" fontId="1" fillId="2" borderId="1">
      <alignment horizontal="right" vertical="top" wrapText="1"/>
    </xf>
    <xf numFmtId="0" fontId="3" fillId="2" borderId="1">
      <alignment horizontal="right" vertical="top" wrapText="1"/>
    </xf>
    <xf numFmtId="164" fontId="3" fillId="2" borderId="1">
      <alignment horizontal="right" vertical="top" wrapText="1"/>
    </xf>
    <xf numFmtId="0" fontId="4" fillId="2" borderId="1" applyAlignment="0"/>
    <xf numFmtId="0" fontId="4" fillId="2" borderId="1">
      <alignment horizontal="left" vertical="top" wrapText="1"/>
    </xf>
    <xf numFmtId="0" fontId="2" fillId="2" borderId="1">
      <alignment horizontal="right" vertical="top" wrapText="1"/>
    </xf>
    <xf numFmtId="164" fontId="2" fillId="2" borderId="1">
      <alignment horizontal="right" vertical="top" wrapText="1"/>
    </xf>
    <xf numFmtId="44" fontId="6" fillId="0" borderId="0" applyFont="0" applyFill="0" applyBorder="0" applyAlignment="0" applyProtection="0"/>
  </cellStyleXfs>
  <cellXfs count="66">
    <xf numFmtId="0" fontId="0" fillId="0" borderId="0" xfId="0"/>
    <xf numFmtId="0" fontId="1" fillId="2" borderId="1" xfId="2">
      <alignment horizontal="left" vertical="top" wrapText="1"/>
    </xf>
    <xf numFmtId="0" fontId="2" fillId="2" borderId="1" xfId="4">
      <alignment horizontal="left" vertical="top" wrapText="1"/>
    </xf>
    <xf numFmtId="0" fontId="3" fillId="2" borderId="1" xfId="6">
      <alignment horizontal="left" vertical="top" wrapText="1"/>
    </xf>
    <xf numFmtId="164" fontId="1" fillId="2" borderId="1" xfId="8">
      <alignment horizontal="right" vertical="top" wrapText="1"/>
    </xf>
    <xf numFmtId="164" fontId="3" fillId="2" borderId="1" xfId="10">
      <alignment horizontal="right" vertical="top" wrapText="1"/>
    </xf>
    <xf numFmtId="0" fontId="0" fillId="0" borderId="0" xfId="0" applyAlignment="1"/>
    <xf numFmtId="0" fontId="0" fillId="3" borderId="0" xfId="0" applyFill="1" applyAlignment="1"/>
    <xf numFmtId="0" fontId="0" fillId="3" borderId="0" xfId="0" applyFill="1"/>
    <xf numFmtId="44" fontId="0" fillId="0" borderId="0" xfId="15" applyFont="1"/>
    <xf numFmtId="44" fontId="0" fillId="3" borderId="0" xfId="15" applyFont="1" applyFill="1"/>
    <xf numFmtId="0" fontId="4" fillId="2" borderId="1" xfId="12" applyAlignment="1">
      <alignment horizontal="right" vertical="top" wrapText="1"/>
    </xf>
    <xf numFmtId="44" fontId="0" fillId="0" borderId="0" xfId="15" applyFont="1" applyFill="1"/>
    <xf numFmtId="0" fontId="0" fillId="4" borderId="0" xfId="0" applyFill="1" applyAlignment="1"/>
    <xf numFmtId="0" fontId="0" fillId="5" borderId="0" xfId="0" applyFill="1" applyAlignment="1"/>
    <xf numFmtId="17" fontId="5" fillId="4" borderId="0" xfId="0" applyNumberFormat="1" applyFont="1" applyFill="1" applyAlignment="1"/>
    <xf numFmtId="17" fontId="5" fillId="0" borderId="0" xfId="0" applyNumberFormat="1" applyFont="1" applyAlignment="1"/>
    <xf numFmtId="0" fontId="5" fillId="0" borderId="0" xfId="0" applyFont="1" applyAlignment="1"/>
    <xf numFmtId="0" fontId="5" fillId="3" borderId="0" xfId="0" applyFont="1" applyFill="1" applyAlignment="1"/>
    <xf numFmtId="44" fontId="5" fillId="3" borderId="0" xfId="15" applyFont="1" applyFill="1" applyAlignment="1"/>
    <xf numFmtId="0" fontId="2" fillId="6" borderId="1" xfId="4" applyFill="1" applyAlignment="1">
      <alignment horizontal="left" wrapText="1"/>
    </xf>
    <xf numFmtId="0" fontId="3" fillId="6" borderId="1" xfId="6" applyFill="1" applyAlignment="1">
      <alignment horizontal="left" wrapText="1"/>
    </xf>
    <xf numFmtId="44" fontId="0" fillId="3" borderId="0" xfId="15" applyFont="1" applyFill="1" applyAlignment="1"/>
    <xf numFmtId="0" fontId="1" fillId="6" borderId="1" xfId="2" applyFill="1" applyAlignment="1">
      <alignment horizontal="left" wrapText="1"/>
    </xf>
    <xf numFmtId="164" fontId="1" fillId="6" borderId="1" xfId="8" applyFill="1" applyAlignment="1">
      <alignment horizontal="right" wrapText="1"/>
    </xf>
    <xf numFmtId="164" fontId="1" fillId="4" borderId="1" xfId="8" applyFill="1" applyAlignment="1">
      <alignment horizontal="right" wrapText="1"/>
    </xf>
    <xf numFmtId="164" fontId="1" fillId="0" borderId="1" xfId="8" applyFill="1" applyAlignment="1">
      <alignment horizontal="right" wrapText="1"/>
    </xf>
    <xf numFmtId="0" fontId="6" fillId="0" borderId="0" xfId="0" applyFont="1" applyAlignment="1"/>
    <xf numFmtId="0" fontId="6" fillId="3" borderId="0" xfId="0" applyFont="1" applyFill="1" applyAlignment="1"/>
    <xf numFmtId="164" fontId="3" fillId="4" borderId="1" xfId="10" applyFill="1" applyAlignment="1">
      <alignment horizontal="right" wrapText="1"/>
    </xf>
    <xf numFmtId="164" fontId="3" fillId="0" borderId="1" xfId="10" applyFill="1" applyAlignment="1">
      <alignment horizontal="right" wrapText="1"/>
    </xf>
    <xf numFmtId="164" fontId="0" fillId="0" borderId="0" xfId="0" applyNumberFormat="1" applyAlignment="1"/>
    <xf numFmtId="164" fontId="3" fillId="6" borderId="1" xfId="10" applyFill="1" applyAlignment="1">
      <alignment horizontal="right" wrapText="1"/>
    </xf>
    <xf numFmtId="44" fontId="0" fillId="0" borderId="0" xfId="15" applyFont="1" applyAlignment="1"/>
    <xf numFmtId="164" fontId="2" fillId="4" borderId="1" xfId="14" applyFill="1" applyAlignment="1">
      <alignment horizontal="right" wrapText="1"/>
    </xf>
    <xf numFmtId="164" fontId="2" fillId="0" borderId="1" xfId="14" applyFill="1" applyAlignment="1">
      <alignment horizontal="right" wrapText="1"/>
    </xf>
    <xf numFmtId="164" fontId="2" fillId="6" borderId="1" xfId="14" applyFill="1" applyAlignment="1">
      <alignment horizontal="right" wrapText="1"/>
    </xf>
    <xf numFmtId="0" fontId="6" fillId="0" borderId="1" xfId="0" applyFont="1" applyBorder="1" applyAlignment="1"/>
    <xf numFmtId="164" fontId="3" fillId="4" borderId="1" xfId="8" applyFont="1" applyFill="1" applyAlignment="1">
      <alignment horizontal="right" wrapText="1"/>
    </xf>
    <xf numFmtId="164" fontId="3" fillId="0" borderId="1" xfId="8" applyFont="1" applyFill="1" applyAlignment="1">
      <alignment horizontal="right" wrapText="1"/>
    </xf>
    <xf numFmtId="164" fontId="2" fillId="4" borderId="1" xfId="8" applyFont="1" applyFill="1" applyAlignment="1">
      <alignment horizontal="right" wrapText="1"/>
    </xf>
    <xf numFmtId="164" fontId="2" fillId="0" borderId="1" xfId="8" applyFont="1" applyFill="1" applyAlignment="1">
      <alignment horizontal="right" wrapText="1"/>
    </xf>
    <xf numFmtId="164" fontId="2" fillId="5" borderId="1" xfId="14" applyFill="1" applyAlignment="1">
      <alignment horizontal="right" wrapText="1"/>
    </xf>
    <xf numFmtId="17" fontId="5" fillId="5" borderId="0" xfId="0" applyNumberFormat="1" applyFont="1" applyFill="1" applyAlignment="1"/>
    <xf numFmtId="0" fontId="2" fillId="2" borderId="1" xfId="4" applyAlignment="1">
      <alignment vertical="top"/>
    </xf>
    <xf numFmtId="44" fontId="0" fillId="0" borderId="0" xfId="15" applyFont="1" applyFill="1" applyAlignment="1"/>
    <xf numFmtId="44" fontId="6" fillId="0" borderId="0" xfId="15" applyFont="1" applyAlignment="1">
      <alignment horizontal="right"/>
    </xf>
    <xf numFmtId="44" fontId="0" fillId="0" borderId="0" xfId="15" applyFont="1" applyAlignment="1">
      <alignment horizontal="right"/>
    </xf>
    <xf numFmtId="44" fontId="1" fillId="3" borderId="1" xfId="15" applyFont="1" applyFill="1" applyBorder="1" applyAlignment="1">
      <alignment horizontal="right" vertical="top" wrapText="1"/>
    </xf>
    <xf numFmtId="44" fontId="1" fillId="0" borderId="1" xfId="15" applyFont="1" applyFill="1" applyBorder="1" applyAlignment="1">
      <alignment horizontal="right" vertical="top" wrapText="1"/>
    </xf>
    <xf numFmtId="44" fontId="5" fillId="0" borderId="0" xfId="15" applyFont="1" applyAlignment="1">
      <alignment horizontal="right"/>
    </xf>
    <xf numFmtId="44" fontId="3" fillId="3" borderId="1" xfId="15" applyFont="1" applyFill="1" applyBorder="1" applyAlignment="1">
      <alignment horizontal="right" vertical="top" wrapText="1"/>
    </xf>
    <xf numFmtId="44" fontId="3" fillId="0" borderId="1" xfId="15" applyFont="1" applyFill="1" applyBorder="1" applyAlignment="1">
      <alignment horizontal="right" vertical="top" wrapText="1"/>
    </xf>
    <xf numFmtId="44" fontId="4" fillId="3" borderId="1" xfId="15" applyFont="1" applyFill="1" applyBorder="1" applyAlignment="1">
      <alignment horizontal="right" vertical="top" wrapText="1"/>
    </xf>
    <xf numFmtId="44" fontId="4" fillId="0" borderId="1" xfId="15" applyFont="1" applyFill="1" applyBorder="1" applyAlignment="1">
      <alignment horizontal="right" vertical="top" wrapText="1"/>
    </xf>
    <xf numFmtId="44" fontId="1" fillId="0" borderId="2" xfId="15" applyFont="1" applyFill="1" applyBorder="1" applyAlignment="1">
      <alignment horizontal="right" vertical="top" wrapText="1"/>
    </xf>
    <xf numFmtId="44" fontId="7" fillId="0" borderId="3" xfId="15" applyFont="1" applyFill="1" applyBorder="1" applyAlignment="1">
      <alignment horizontal="right" vertical="top" wrapText="1"/>
    </xf>
    <xf numFmtId="44" fontId="5" fillId="0" borderId="0" xfId="15" applyFont="1" applyAlignment="1">
      <alignment horizontal="center"/>
    </xf>
    <xf numFmtId="44" fontId="0" fillId="0" borderId="0" xfId="15" applyFont="1" applyAlignment="1">
      <alignment horizontal="center"/>
    </xf>
    <xf numFmtId="44" fontId="6" fillId="0" borderId="0" xfId="15" applyFont="1" applyAlignment="1">
      <alignment horizontal="center"/>
    </xf>
    <xf numFmtId="44" fontId="0" fillId="0" borderId="0" xfId="0" applyNumberFormat="1"/>
    <xf numFmtId="14" fontId="5" fillId="3" borderId="4" xfId="15" applyNumberFormat="1" applyFont="1" applyFill="1" applyBorder="1" applyAlignment="1">
      <alignment vertical="center"/>
    </xf>
    <xf numFmtId="44" fontId="5" fillId="3" borderId="4" xfId="15" applyFont="1" applyFill="1" applyBorder="1" applyAlignment="1">
      <alignment horizontal="center" vertical="center"/>
    </xf>
    <xf numFmtId="2" fontId="0" fillId="0" borderId="0" xfId="15" applyNumberFormat="1" applyFont="1"/>
    <xf numFmtId="1" fontId="5" fillId="3" borderId="4" xfId="15" applyNumberFormat="1" applyFont="1" applyFill="1" applyBorder="1" applyAlignment="1">
      <alignment vertical="center"/>
    </xf>
    <xf numFmtId="44" fontId="5" fillId="3" borderId="4" xfId="15" applyFont="1" applyFill="1" applyBorder="1" applyAlignment="1">
      <alignment horizontal="center" vertical="center"/>
    </xf>
  </cellXfs>
  <cellStyles count="16">
    <cellStyle name="Currency" xfId="15" builtinId="4"/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12" xfId="12" xr:uid="{00000000-0005-0000-0000-00000C000000}"/>
    <cellStyle name="Style 13" xfId="13" xr:uid="{00000000-0005-0000-0000-00000D000000}"/>
    <cellStyle name="Style 14" xfId="14" xr:uid="{00000000-0005-0000-0000-00000E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3"/>
  <sheetViews>
    <sheetView tabSelected="1" zoomScale="180" zoomScaleNormal="124" workbookViewId="0">
      <selection activeCell="C19" sqref="C19"/>
    </sheetView>
  </sheetViews>
  <sheetFormatPr baseColWidth="10" defaultColWidth="9" defaultRowHeight="20" customHeight="1"/>
  <cols>
    <col min="1" max="1" width="39.796875" style="14" customWidth="1"/>
    <col min="2" max="2" width="13.19921875" style="14" customWidth="1"/>
    <col min="3" max="3" width="13.3984375" style="13" customWidth="1"/>
    <col min="4" max="4" width="13.3984375" style="6" customWidth="1"/>
    <col min="5" max="5" width="9.3984375" style="6" customWidth="1"/>
    <col min="6" max="6" width="11.3984375" style="6" customWidth="1"/>
    <col min="7" max="7" width="23.19921875" style="6" customWidth="1"/>
    <col min="8" max="8" width="18.19921875" style="33" bestFit="1" customWidth="1"/>
    <col min="9" max="9" width="9.3984375" style="6" bestFit="1" customWidth="1"/>
    <col min="10" max="10" width="9" style="6"/>
    <col min="11" max="11" width="10.59765625" style="6" bestFit="1" customWidth="1"/>
    <col min="12" max="16384" width="9" style="6"/>
  </cols>
  <sheetData>
    <row r="1" spans="1:8" ht="20" customHeight="1">
      <c r="B1" s="43">
        <v>45444</v>
      </c>
      <c r="C1" s="15"/>
      <c r="D1" s="16"/>
      <c r="E1" s="17" t="s">
        <v>331</v>
      </c>
      <c r="F1" s="17"/>
      <c r="G1" s="18" t="s">
        <v>333</v>
      </c>
      <c r="H1" s="19"/>
    </row>
    <row r="2" spans="1:8" ht="20" customHeight="1">
      <c r="A2" s="20" t="s">
        <v>0</v>
      </c>
      <c r="G2" s="18"/>
      <c r="H2" s="19"/>
    </row>
    <row r="3" spans="1:8" ht="20" customHeight="1">
      <c r="A3" s="21" t="s">
        <v>1</v>
      </c>
      <c r="G3" s="7"/>
      <c r="H3" s="22"/>
    </row>
    <row r="4" spans="1:8" ht="20" customHeight="1">
      <c r="A4" s="23" t="s">
        <v>2</v>
      </c>
      <c r="B4" s="24">
        <v>-22757</v>
      </c>
      <c r="C4" s="25"/>
      <c r="D4" s="26"/>
      <c r="E4" s="27" t="s">
        <v>334</v>
      </c>
      <c r="G4" s="28" t="s">
        <v>334</v>
      </c>
      <c r="H4" s="22">
        <f>SUMIF(E:E,G4,B:B)</f>
        <v>10679052</v>
      </c>
    </row>
    <row r="5" spans="1:8" ht="20" customHeight="1">
      <c r="A5" s="23" t="s">
        <v>3</v>
      </c>
      <c r="B5" s="24">
        <v>3639141</v>
      </c>
      <c r="C5" s="25"/>
      <c r="D5" s="26"/>
      <c r="E5" s="27" t="s">
        <v>334</v>
      </c>
      <c r="G5" s="28" t="s">
        <v>335</v>
      </c>
      <c r="H5" s="22">
        <f t="shared" ref="H5:H6" si="0">SUMIF(E:E,G5,B:B)</f>
        <v>13793</v>
      </c>
    </row>
    <row r="6" spans="1:8" ht="20" customHeight="1">
      <c r="A6" s="23" t="s">
        <v>4</v>
      </c>
      <c r="B6" s="24">
        <v>5352063</v>
      </c>
      <c r="C6" s="25"/>
      <c r="D6" s="26"/>
      <c r="E6" s="27" t="s">
        <v>334</v>
      </c>
      <c r="G6" s="28" t="s">
        <v>336</v>
      </c>
      <c r="H6" s="22">
        <f t="shared" si="0"/>
        <v>26149</v>
      </c>
    </row>
    <row r="7" spans="1:8" ht="20" customHeight="1">
      <c r="A7" s="23" t="s">
        <v>5</v>
      </c>
      <c r="B7" s="24">
        <v>16039</v>
      </c>
      <c r="C7" s="25"/>
      <c r="D7" s="26"/>
      <c r="E7" s="27" t="s">
        <v>334</v>
      </c>
      <c r="G7" s="7"/>
      <c r="H7" s="22"/>
    </row>
    <row r="8" spans="1:8" ht="20" customHeight="1">
      <c r="A8" s="23" t="s">
        <v>646</v>
      </c>
      <c r="B8" s="24">
        <v>1539237</v>
      </c>
      <c r="C8" s="25"/>
      <c r="D8" s="26"/>
      <c r="E8" s="27" t="s">
        <v>334</v>
      </c>
      <c r="G8" s="18" t="s">
        <v>348</v>
      </c>
      <c r="H8" s="19">
        <f>SUM(H4:H7)</f>
        <v>10718994</v>
      </c>
    </row>
    <row r="9" spans="1:8" ht="20" customHeight="1">
      <c r="A9" s="23" t="s">
        <v>647</v>
      </c>
      <c r="B9" s="24">
        <v>0</v>
      </c>
      <c r="C9" s="25"/>
      <c r="D9" s="26"/>
      <c r="E9" s="27"/>
      <c r="G9" s="7"/>
      <c r="H9" s="22"/>
    </row>
    <row r="10" spans="1:8" ht="20" customHeight="1">
      <c r="A10" s="23" t="s">
        <v>648</v>
      </c>
      <c r="B10" s="24">
        <v>0</v>
      </c>
      <c r="C10" s="25"/>
      <c r="D10" s="26"/>
      <c r="E10" s="27"/>
      <c r="G10" s="7"/>
      <c r="H10" s="22"/>
    </row>
    <row r="11" spans="1:8" ht="20" customHeight="1">
      <c r="A11" s="23" t="s">
        <v>649</v>
      </c>
      <c r="B11" s="24">
        <v>0</v>
      </c>
      <c r="C11" s="25"/>
      <c r="D11" s="26"/>
      <c r="E11" s="27"/>
      <c r="G11" s="28" t="s">
        <v>337</v>
      </c>
      <c r="H11" s="22">
        <f t="shared" ref="H11:H20" si="1">SUMIF(E:E,G11,B:B)</f>
        <v>4674074</v>
      </c>
    </row>
    <row r="12" spans="1:8" ht="20" customHeight="1">
      <c r="A12" s="23" t="s">
        <v>650</v>
      </c>
      <c r="B12" s="24">
        <v>0</v>
      </c>
      <c r="C12" s="25"/>
      <c r="D12" s="26"/>
      <c r="E12" s="27"/>
      <c r="G12" s="28" t="s">
        <v>338</v>
      </c>
      <c r="H12" s="22">
        <f t="shared" si="1"/>
        <v>1221417</v>
      </c>
    </row>
    <row r="13" spans="1:8" ht="20" customHeight="1">
      <c r="A13" s="23" t="s">
        <v>6</v>
      </c>
      <c r="B13" s="24">
        <v>0</v>
      </c>
      <c r="C13" s="25"/>
      <c r="D13" s="26"/>
      <c r="E13" s="27"/>
      <c r="G13" s="28" t="s">
        <v>341</v>
      </c>
      <c r="H13" s="22">
        <f t="shared" si="1"/>
        <v>247095</v>
      </c>
    </row>
    <row r="14" spans="1:8" ht="20" customHeight="1">
      <c r="A14" s="23" t="s">
        <v>7</v>
      </c>
      <c r="B14" s="24">
        <v>-207877</v>
      </c>
      <c r="C14" s="25"/>
      <c r="D14" s="26"/>
      <c r="E14" s="27" t="s">
        <v>334</v>
      </c>
      <c r="G14" s="28" t="s">
        <v>342</v>
      </c>
      <c r="H14" s="22">
        <f t="shared" si="1"/>
        <v>10505</v>
      </c>
    </row>
    <row r="15" spans="1:8" ht="20" customHeight="1">
      <c r="A15" s="23" t="s">
        <v>8</v>
      </c>
      <c r="B15" s="24">
        <v>0</v>
      </c>
      <c r="C15" s="25"/>
      <c r="D15" s="26"/>
      <c r="E15" s="27"/>
      <c r="G15" s="28" t="s">
        <v>339</v>
      </c>
      <c r="H15" s="22">
        <f t="shared" si="1"/>
        <v>278726</v>
      </c>
    </row>
    <row r="16" spans="1:8" ht="20" customHeight="1">
      <c r="A16" s="23" t="s">
        <v>9</v>
      </c>
      <c r="B16" s="24">
        <v>0</v>
      </c>
      <c r="C16" s="25"/>
      <c r="D16" s="26"/>
      <c r="E16" s="27"/>
      <c r="G16" s="28" t="s">
        <v>345</v>
      </c>
      <c r="H16" s="22">
        <f t="shared" si="1"/>
        <v>4692316</v>
      </c>
    </row>
    <row r="17" spans="1:11" ht="20" customHeight="1">
      <c r="A17" s="23" t="s">
        <v>10</v>
      </c>
      <c r="B17" s="24">
        <v>0</v>
      </c>
      <c r="C17" s="29"/>
      <c r="D17" s="30"/>
      <c r="E17" s="27"/>
      <c r="G17" s="28" t="s">
        <v>346</v>
      </c>
      <c r="H17" s="22">
        <f t="shared" si="1"/>
        <v>222811</v>
      </c>
      <c r="K17" s="31"/>
    </row>
    <row r="18" spans="1:11" ht="20" customHeight="1">
      <c r="A18" s="21" t="s">
        <v>11</v>
      </c>
      <c r="B18" s="32">
        <v>10315845</v>
      </c>
      <c r="G18" s="28" t="s">
        <v>347</v>
      </c>
      <c r="H18" s="22">
        <f t="shared" si="1"/>
        <v>426417</v>
      </c>
    </row>
    <row r="19" spans="1:11" ht="20" customHeight="1">
      <c r="A19" s="21" t="s">
        <v>12</v>
      </c>
      <c r="C19" s="25"/>
      <c r="D19" s="26"/>
      <c r="G19" s="28" t="s">
        <v>340</v>
      </c>
      <c r="H19" s="22">
        <f t="shared" si="1"/>
        <v>28902</v>
      </c>
    </row>
    <row r="20" spans="1:11" ht="20" customHeight="1">
      <c r="A20" s="23" t="s">
        <v>13</v>
      </c>
      <c r="B20" s="24">
        <v>295859</v>
      </c>
      <c r="C20" s="29"/>
      <c r="D20" s="30"/>
      <c r="E20" s="27" t="s">
        <v>334</v>
      </c>
      <c r="G20" s="28" t="s">
        <v>343</v>
      </c>
      <c r="H20" s="22">
        <f t="shared" si="1"/>
        <v>23406</v>
      </c>
    </row>
    <row r="21" spans="1:11" ht="20" customHeight="1">
      <c r="A21" s="21" t="s">
        <v>14</v>
      </c>
      <c r="B21" s="32">
        <v>295859</v>
      </c>
      <c r="G21" s="7"/>
      <c r="H21" s="22"/>
    </row>
    <row r="22" spans="1:11" ht="20" customHeight="1">
      <c r="G22" s="18" t="s">
        <v>349</v>
      </c>
      <c r="H22" s="19">
        <f>SUM(H11:H21)</f>
        <v>11825669</v>
      </c>
    </row>
    <row r="23" spans="1:11" ht="20" customHeight="1">
      <c r="A23" s="21" t="s">
        <v>15</v>
      </c>
      <c r="C23" s="25"/>
      <c r="D23" s="26"/>
      <c r="G23" s="7"/>
      <c r="H23" s="22"/>
    </row>
    <row r="24" spans="1:11" ht="20" customHeight="1">
      <c r="A24" s="23" t="s">
        <v>16</v>
      </c>
      <c r="B24" s="24">
        <v>142354</v>
      </c>
      <c r="C24" s="29"/>
      <c r="D24" s="30"/>
      <c r="E24" s="27" t="s">
        <v>334</v>
      </c>
      <c r="G24" s="18" t="s">
        <v>350</v>
      </c>
      <c r="H24" s="22">
        <f>H8-H22</f>
        <v>-1106675</v>
      </c>
    </row>
    <row r="25" spans="1:11" ht="20" customHeight="1">
      <c r="A25" s="21" t="s">
        <v>17</v>
      </c>
      <c r="B25" s="32">
        <v>142354</v>
      </c>
      <c r="J25" s="27"/>
    </row>
    <row r="26" spans="1:11" ht="20" customHeight="1">
      <c r="I26" s="31"/>
      <c r="J26" s="27"/>
    </row>
    <row r="27" spans="1:11" ht="20" customHeight="1">
      <c r="A27" s="21" t="s">
        <v>18</v>
      </c>
      <c r="C27" s="25"/>
      <c r="D27" s="26"/>
      <c r="I27" s="31"/>
    </row>
    <row r="28" spans="1:11" ht="20" customHeight="1">
      <c r="A28" s="23" t="s">
        <v>651</v>
      </c>
      <c r="B28" s="24">
        <v>0</v>
      </c>
      <c r="C28" s="25"/>
      <c r="D28" s="26"/>
    </row>
    <row r="29" spans="1:11" ht="20" customHeight="1">
      <c r="A29" s="23" t="s">
        <v>19</v>
      </c>
      <c r="B29" s="24">
        <v>2754</v>
      </c>
      <c r="C29" s="25"/>
      <c r="D29" s="26"/>
      <c r="E29" s="27" t="s">
        <v>334</v>
      </c>
    </row>
    <row r="30" spans="1:11" ht="20" customHeight="1">
      <c r="A30" s="23" t="s">
        <v>20</v>
      </c>
      <c r="B30" s="24">
        <v>0</v>
      </c>
      <c r="C30" s="25"/>
      <c r="D30" s="26"/>
    </row>
    <row r="31" spans="1:11" ht="20" customHeight="1">
      <c r="A31" s="23" t="s">
        <v>21</v>
      </c>
      <c r="B31" s="24">
        <v>0</v>
      </c>
      <c r="C31" s="25"/>
      <c r="D31" s="26"/>
    </row>
    <row r="32" spans="1:11" ht="20" customHeight="1">
      <c r="A32" s="23" t="s">
        <v>22</v>
      </c>
      <c r="B32" s="24">
        <v>7185</v>
      </c>
      <c r="C32" s="25"/>
      <c r="D32" s="26"/>
      <c r="E32" s="27" t="s">
        <v>335</v>
      </c>
    </row>
    <row r="33" spans="1:5" ht="20" customHeight="1">
      <c r="A33" s="23" t="s">
        <v>23</v>
      </c>
      <c r="B33" s="24">
        <v>0</v>
      </c>
      <c r="C33" s="25"/>
      <c r="D33" s="26"/>
    </row>
    <row r="34" spans="1:5" ht="20" customHeight="1">
      <c r="A34" s="23" t="s">
        <v>24</v>
      </c>
      <c r="B34" s="24">
        <v>0</v>
      </c>
      <c r="C34" s="25"/>
      <c r="D34" s="26"/>
    </row>
    <row r="35" spans="1:5" ht="20" customHeight="1">
      <c r="A35" s="23" t="s">
        <v>25</v>
      </c>
      <c r="B35" s="24">
        <v>0</v>
      </c>
      <c r="C35" s="25"/>
      <c r="D35" s="26"/>
    </row>
    <row r="36" spans="1:5" ht="20" customHeight="1">
      <c r="A36" s="23" t="s">
        <v>652</v>
      </c>
      <c r="B36" s="24">
        <v>0</v>
      </c>
      <c r="C36" s="25"/>
      <c r="D36" s="26"/>
    </row>
    <row r="37" spans="1:5" ht="20" customHeight="1">
      <c r="A37" s="23" t="s">
        <v>653</v>
      </c>
      <c r="B37" s="24">
        <v>0</v>
      </c>
      <c r="C37" s="25"/>
      <c r="D37" s="26"/>
    </row>
    <row r="38" spans="1:5" ht="20" customHeight="1">
      <c r="A38" s="23" t="s">
        <v>26</v>
      </c>
      <c r="B38" s="24">
        <v>-21663</v>
      </c>
      <c r="C38" s="25"/>
      <c r="D38" s="26"/>
      <c r="E38" s="27" t="s">
        <v>334</v>
      </c>
    </row>
    <row r="39" spans="1:5" ht="20" customHeight="1">
      <c r="A39" s="23" t="s">
        <v>27</v>
      </c>
      <c r="B39" s="24">
        <v>5487</v>
      </c>
      <c r="C39" s="25"/>
      <c r="D39" s="26"/>
      <c r="E39" s="27" t="s">
        <v>335</v>
      </c>
    </row>
    <row r="40" spans="1:5" ht="20" customHeight="1">
      <c r="A40" s="23" t="s">
        <v>28</v>
      </c>
      <c r="B40" s="24">
        <v>-54328</v>
      </c>
      <c r="C40" s="25"/>
      <c r="D40" s="26"/>
      <c r="E40" s="27" t="s">
        <v>334</v>
      </c>
    </row>
    <row r="41" spans="1:5" ht="20" customHeight="1">
      <c r="A41" s="23" t="s">
        <v>29</v>
      </c>
      <c r="B41" s="24">
        <v>0</v>
      </c>
      <c r="C41" s="25"/>
      <c r="D41" s="26"/>
    </row>
    <row r="42" spans="1:5" ht="20" customHeight="1">
      <c r="A42" s="23" t="s">
        <v>30</v>
      </c>
      <c r="B42" s="24">
        <v>-1770</v>
      </c>
      <c r="C42" s="25"/>
      <c r="D42" s="26"/>
      <c r="E42" s="27" t="s">
        <v>334</v>
      </c>
    </row>
    <row r="43" spans="1:5" ht="20" customHeight="1">
      <c r="A43" s="23" t="s">
        <v>31</v>
      </c>
      <c r="B43" s="24">
        <v>0</v>
      </c>
      <c r="C43" s="25"/>
      <c r="D43" s="26"/>
    </row>
    <row r="44" spans="1:5" ht="20" customHeight="1">
      <c r="A44" s="23" t="s">
        <v>32</v>
      </c>
      <c r="B44" s="24">
        <v>0</v>
      </c>
      <c r="C44" s="29"/>
      <c r="D44" s="30"/>
    </row>
    <row r="45" spans="1:5" ht="20" customHeight="1">
      <c r="A45" s="23" t="s">
        <v>33</v>
      </c>
      <c r="B45" s="24">
        <v>0</v>
      </c>
    </row>
    <row r="46" spans="1:5" ht="20" customHeight="1">
      <c r="A46" s="23" t="s">
        <v>34</v>
      </c>
      <c r="B46" s="24">
        <v>0</v>
      </c>
    </row>
    <row r="47" spans="1:5" ht="20" customHeight="1">
      <c r="A47" s="23" t="s">
        <v>35</v>
      </c>
      <c r="B47" s="24">
        <v>0</v>
      </c>
      <c r="C47" s="25"/>
      <c r="D47" s="26"/>
    </row>
    <row r="48" spans="1:5" ht="20" customHeight="1">
      <c r="A48" s="21" t="s">
        <v>36</v>
      </c>
      <c r="B48" s="32">
        <v>-62335</v>
      </c>
      <c r="C48" s="25"/>
      <c r="D48" s="26"/>
    </row>
    <row r="49" spans="1:5" ht="20" customHeight="1">
      <c r="C49" s="25"/>
      <c r="D49" s="26"/>
    </row>
    <row r="50" spans="1:5" ht="20" customHeight="1">
      <c r="A50" s="21" t="s">
        <v>37</v>
      </c>
      <c r="C50" s="25"/>
      <c r="D50" s="26"/>
    </row>
    <row r="51" spans="1:5" ht="20" customHeight="1">
      <c r="A51" s="23" t="s">
        <v>38</v>
      </c>
      <c r="B51" s="24">
        <v>1121</v>
      </c>
      <c r="C51" s="29"/>
      <c r="D51" s="30"/>
      <c r="E51" s="27" t="s">
        <v>335</v>
      </c>
    </row>
    <row r="52" spans="1:5" ht="20" customHeight="1">
      <c r="A52" s="23" t="s">
        <v>39</v>
      </c>
      <c r="B52" s="24">
        <v>26149</v>
      </c>
      <c r="E52" s="27" t="s">
        <v>336</v>
      </c>
    </row>
    <row r="53" spans="1:5" ht="20" customHeight="1">
      <c r="A53" s="23" t="s">
        <v>40</v>
      </c>
      <c r="B53" s="24">
        <v>0</v>
      </c>
      <c r="C53" s="34"/>
      <c r="D53" s="35"/>
    </row>
    <row r="54" spans="1:5" ht="20" customHeight="1">
      <c r="A54" s="23" t="s">
        <v>41</v>
      </c>
      <c r="B54" s="24">
        <v>0</v>
      </c>
      <c r="E54" s="27"/>
    </row>
    <row r="56" spans="1:5" ht="20" customHeight="1">
      <c r="A56" s="21" t="s">
        <v>42</v>
      </c>
      <c r="B56" s="32">
        <v>27270</v>
      </c>
    </row>
    <row r="58" spans="1:5" ht="20" customHeight="1">
      <c r="A58" s="20" t="s">
        <v>43</v>
      </c>
      <c r="B58" s="36">
        <v>10718994</v>
      </c>
      <c r="C58" s="25"/>
      <c r="D58" s="26"/>
    </row>
    <row r="59" spans="1:5" ht="20" customHeight="1">
      <c r="C59" s="25"/>
      <c r="D59" s="26"/>
    </row>
    <row r="60" spans="1:5" ht="20" customHeight="1">
      <c r="A60" s="20" t="s">
        <v>44</v>
      </c>
      <c r="C60" s="25"/>
      <c r="D60" s="26"/>
    </row>
    <row r="61" spans="1:5" ht="20" customHeight="1">
      <c r="A61" s="21" t="s">
        <v>44</v>
      </c>
      <c r="C61" s="25"/>
      <c r="D61" s="26"/>
    </row>
    <row r="62" spans="1:5" ht="20" customHeight="1">
      <c r="A62" s="23" t="s">
        <v>45</v>
      </c>
      <c r="B62" s="24">
        <v>14918</v>
      </c>
      <c r="C62" s="25"/>
      <c r="D62" s="26"/>
      <c r="E62" s="27" t="s">
        <v>337</v>
      </c>
    </row>
    <row r="63" spans="1:5" ht="20" customHeight="1">
      <c r="A63" s="23" t="s">
        <v>46</v>
      </c>
      <c r="B63" s="24">
        <v>1381939</v>
      </c>
      <c r="C63" s="25"/>
      <c r="D63" s="26"/>
      <c r="E63" s="27" t="s">
        <v>337</v>
      </c>
    </row>
    <row r="64" spans="1:5" ht="20" customHeight="1">
      <c r="A64" s="23" t="s">
        <v>47</v>
      </c>
      <c r="B64" s="24">
        <v>1991116</v>
      </c>
      <c r="C64" s="25"/>
      <c r="D64" s="26"/>
      <c r="E64" s="27" t="s">
        <v>337</v>
      </c>
    </row>
    <row r="65" spans="1:5" ht="20" customHeight="1">
      <c r="A65" s="23" t="s">
        <v>48</v>
      </c>
      <c r="B65" s="24">
        <v>4370</v>
      </c>
      <c r="C65" s="25"/>
      <c r="D65" s="26"/>
      <c r="E65" s="27" t="s">
        <v>337</v>
      </c>
    </row>
    <row r="66" spans="1:5" ht="20" customHeight="1">
      <c r="A66" s="23" t="s">
        <v>654</v>
      </c>
      <c r="B66" s="24">
        <v>539581</v>
      </c>
      <c r="C66" s="25"/>
      <c r="D66" s="26"/>
      <c r="E66" s="27" t="s">
        <v>337</v>
      </c>
    </row>
    <row r="67" spans="1:5" ht="20" customHeight="1">
      <c r="A67" s="23" t="s">
        <v>655</v>
      </c>
      <c r="B67" s="24">
        <v>0</v>
      </c>
      <c r="C67" s="25"/>
      <c r="D67" s="26"/>
      <c r="E67" s="27"/>
    </row>
    <row r="68" spans="1:5" ht="20" customHeight="1">
      <c r="A68" s="23" t="s">
        <v>656</v>
      </c>
      <c r="B68" s="24">
        <v>0</v>
      </c>
      <c r="C68" s="25"/>
      <c r="D68" s="26"/>
      <c r="E68" s="27"/>
    </row>
    <row r="69" spans="1:5" ht="20" customHeight="1">
      <c r="A69" s="23" t="s">
        <v>657</v>
      </c>
      <c r="B69" s="24">
        <v>0</v>
      </c>
      <c r="C69" s="25"/>
      <c r="D69" s="26"/>
      <c r="E69" s="27"/>
    </row>
    <row r="70" spans="1:5" ht="20" customHeight="1">
      <c r="A70" s="23" t="s">
        <v>49</v>
      </c>
      <c r="B70" s="24">
        <v>0</v>
      </c>
      <c r="C70" s="25"/>
      <c r="D70" s="26"/>
      <c r="E70" s="27"/>
    </row>
    <row r="71" spans="1:5" ht="20" customHeight="1">
      <c r="A71" s="23" t="s">
        <v>50</v>
      </c>
      <c r="B71" s="24">
        <v>-160364</v>
      </c>
      <c r="C71" s="25"/>
      <c r="D71" s="26"/>
      <c r="E71" s="27" t="s">
        <v>337</v>
      </c>
    </row>
    <row r="72" spans="1:5" ht="20" customHeight="1">
      <c r="A72" s="23" t="s">
        <v>51</v>
      </c>
      <c r="B72" s="24">
        <v>0</v>
      </c>
      <c r="C72" s="25"/>
      <c r="D72" s="26"/>
      <c r="E72" s="27"/>
    </row>
    <row r="73" spans="1:5" ht="20" customHeight="1">
      <c r="A73" s="23" t="s">
        <v>52</v>
      </c>
      <c r="B73" s="24">
        <v>-1361</v>
      </c>
      <c r="C73" s="25"/>
      <c r="D73" s="26"/>
      <c r="E73" s="27" t="s">
        <v>337</v>
      </c>
    </row>
    <row r="74" spans="1:5" ht="20" customHeight="1">
      <c r="A74" s="23" t="s">
        <v>53</v>
      </c>
      <c r="B74" s="24">
        <v>136622</v>
      </c>
      <c r="C74" s="25"/>
      <c r="D74" s="26"/>
      <c r="E74" s="27" t="s">
        <v>337</v>
      </c>
    </row>
    <row r="75" spans="1:5" ht="20" customHeight="1">
      <c r="A75" s="23" t="s">
        <v>54</v>
      </c>
      <c r="B75" s="24">
        <v>212</v>
      </c>
      <c r="C75" s="25"/>
      <c r="D75" s="26"/>
      <c r="E75" s="27" t="s">
        <v>337</v>
      </c>
    </row>
    <row r="76" spans="1:5" ht="20" customHeight="1">
      <c r="A76" s="23" t="s">
        <v>55</v>
      </c>
      <c r="B76" s="24">
        <v>0</v>
      </c>
      <c r="C76" s="25"/>
      <c r="D76" s="26"/>
      <c r="E76" s="27"/>
    </row>
    <row r="77" spans="1:5" ht="20" customHeight="1">
      <c r="A77" s="23" t="s">
        <v>56</v>
      </c>
      <c r="B77" s="24">
        <v>7148</v>
      </c>
      <c r="C77" s="25"/>
      <c r="D77" s="26"/>
      <c r="E77" s="27" t="s">
        <v>337</v>
      </c>
    </row>
    <row r="78" spans="1:5" ht="20" customHeight="1">
      <c r="A78" s="23" t="s">
        <v>57</v>
      </c>
      <c r="B78" s="24">
        <v>0</v>
      </c>
      <c r="C78" s="25"/>
      <c r="D78" s="26"/>
      <c r="E78" s="27"/>
    </row>
    <row r="79" spans="1:5" ht="20" customHeight="1">
      <c r="A79" s="23" t="s">
        <v>58</v>
      </c>
      <c r="B79" s="24">
        <v>0</v>
      </c>
      <c r="C79" s="25"/>
      <c r="D79" s="26"/>
      <c r="E79" s="27"/>
    </row>
    <row r="80" spans="1:5" ht="20" customHeight="1">
      <c r="A80" s="23" t="s">
        <v>59</v>
      </c>
      <c r="B80" s="24">
        <v>0</v>
      </c>
      <c r="C80" s="29"/>
      <c r="D80" s="30"/>
      <c r="E80" s="27"/>
    </row>
    <row r="81" spans="1:5" ht="20" customHeight="1">
      <c r="A81" s="23" t="s">
        <v>60</v>
      </c>
      <c r="B81" s="24">
        <v>0</v>
      </c>
      <c r="E81" s="27"/>
    </row>
    <row r="82" spans="1:5" ht="20" customHeight="1">
      <c r="A82" s="23" t="s">
        <v>61</v>
      </c>
      <c r="B82" s="24">
        <v>0</v>
      </c>
      <c r="E82" s="27"/>
    </row>
    <row r="83" spans="1:5" ht="20" customHeight="1">
      <c r="A83" s="23" t="s">
        <v>62</v>
      </c>
      <c r="B83" s="24">
        <v>0</v>
      </c>
      <c r="C83" s="25"/>
      <c r="D83" s="26"/>
      <c r="E83" s="27"/>
    </row>
    <row r="84" spans="1:5" ht="20" customHeight="1">
      <c r="A84" s="23" t="s">
        <v>63</v>
      </c>
      <c r="B84" s="24">
        <v>0</v>
      </c>
      <c r="C84" s="25"/>
      <c r="D84" s="26"/>
      <c r="E84" s="27"/>
    </row>
    <row r="85" spans="1:5" ht="20" customHeight="1">
      <c r="A85" s="21" t="s">
        <v>64</v>
      </c>
      <c r="B85" s="32">
        <v>3914183</v>
      </c>
      <c r="C85" s="25"/>
      <c r="D85" s="26"/>
    </row>
    <row r="86" spans="1:5" ht="20" customHeight="1">
      <c r="A86" s="21"/>
      <c r="B86" s="32"/>
      <c r="C86" s="25"/>
      <c r="D86" s="26"/>
    </row>
    <row r="87" spans="1:5" ht="20" customHeight="1">
      <c r="C87" s="25"/>
      <c r="D87" s="26"/>
    </row>
    <row r="88" spans="1:5" ht="20" customHeight="1">
      <c r="A88" s="21" t="s">
        <v>65</v>
      </c>
      <c r="C88" s="25"/>
      <c r="D88" s="26"/>
    </row>
    <row r="89" spans="1:5" ht="20" customHeight="1">
      <c r="A89" s="23" t="s">
        <v>66</v>
      </c>
      <c r="B89" s="24">
        <v>487290</v>
      </c>
      <c r="C89" s="25"/>
      <c r="D89" s="26"/>
      <c r="E89" s="27" t="s">
        <v>337</v>
      </c>
    </row>
    <row r="90" spans="1:5" ht="20" customHeight="1">
      <c r="A90" s="23" t="s">
        <v>67</v>
      </c>
      <c r="B90" s="24">
        <v>9070</v>
      </c>
      <c r="C90" s="29"/>
      <c r="D90" s="30"/>
      <c r="E90" s="27" t="s">
        <v>337</v>
      </c>
    </row>
    <row r="91" spans="1:5" ht="20" customHeight="1">
      <c r="A91" s="23" t="s">
        <v>68</v>
      </c>
      <c r="B91" s="24">
        <v>438</v>
      </c>
      <c r="E91" s="27" t="s">
        <v>337</v>
      </c>
    </row>
    <row r="92" spans="1:5" ht="20" customHeight="1">
      <c r="A92" s="23" t="s">
        <v>69</v>
      </c>
      <c r="B92" s="24">
        <v>95</v>
      </c>
      <c r="E92" s="27" t="s">
        <v>337</v>
      </c>
    </row>
    <row r="93" spans="1:5" ht="20" customHeight="1">
      <c r="A93" s="23" t="s">
        <v>70</v>
      </c>
      <c r="B93" s="24">
        <v>1535</v>
      </c>
      <c r="C93" s="25"/>
      <c r="D93" s="26"/>
      <c r="E93" s="27" t="s">
        <v>337</v>
      </c>
    </row>
    <row r="94" spans="1:5" ht="20" customHeight="1">
      <c r="A94" s="23" t="s">
        <v>71</v>
      </c>
      <c r="B94" s="24">
        <v>494</v>
      </c>
      <c r="C94" s="29"/>
      <c r="D94" s="30"/>
      <c r="E94" s="27" t="s">
        <v>337</v>
      </c>
    </row>
    <row r="95" spans="1:5" ht="20" customHeight="1">
      <c r="A95" s="21" t="s">
        <v>72</v>
      </c>
      <c r="B95" s="32">
        <v>498922</v>
      </c>
      <c r="E95" s="27"/>
    </row>
    <row r="97" spans="1:5" ht="20" customHeight="1">
      <c r="A97" s="21" t="s">
        <v>73</v>
      </c>
      <c r="C97" s="25"/>
      <c r="D97" s="26"/>
    </row>
    <row r="98" spans="1:5" ht="20" customHeight="1">
      <c r="A98" s="23" t="s">
        <v>74</v>
      </c>
      <c r="B98" s="24">
        <v>156057</v>
      </c>
      <c r="C98" s="29"/>
      <c r="D98" s="30"/>
      <c r="E98" s="27" t="s">
        <v>337</v>
      </c>
    </row>
    <row r="99" spans="1:5" ht="20" customHeight="1">
      <c r="A99" s="21" t="s">
        <v>75</v>
      </c>
      <c r="B99" s="32">
        <v>156057</v>
      </c>
      <c r="E99" s="27"/>
    </row>
    <row r="101" spans="1:5" ht="20" customHeight="1">
      <c r="A101" s="21" t="s">
        <v>76</v>
      </c>
      <c r="C101" s="25"/>
      <c r="D101" s="26"/>
    </row>
    <row r="102" spans="1:5" ht="20" customHeight="1">
      <c r="A102" s="23" t="s">
        <v>658</v>
      </c>
      <c r="B102" s="24">
        <v>0</v>
      </c>
      <c r="C102" s="29"/>
      <c r="D102" s="30"/>
    </row>
    <row r="103" spans="1:5" ht="20" customHeight="1">
      <c r="A103" s="23" t="s">
        <v>77</v>
      </c>
      <c r="B103" s="24">
        <v>41026</v>
      </c>
      <c r="E103" s="27" t="s">
        <v>337</v>
      </c>
    </row>
    <row r="104" spans="1:5" ht="20" customHeight="1">
      <c r="A104" s="23" t="s">
        <v>659</v>
      </c>
      <c r="B104" s="24">
        <v>0</v>
      </c>
      <c r="E104" s="27"/>
    </row>
    <row r="105" spans="1:5" ht="20" customHeight="1">
      <c r="A105" s="21" t="s">
        <v>78</v>
      </c>
      <c r="B105" s="32">
        <v>41026</v>
      </c>
      <c r="C105" s="25"/>
      <c r="D105" s="26"/>
    </row>
    <row r="106" spans="1:5" ht="20" customHeight="1">
      <c r="C106" s="25"/>
      <c r="D106" s="26"/>
    </row>
    <row r="107" spans="1:5" ht="20" customHeight="1">
      <c r="A107" s="21" t="s">
        <v>79</v>
      </c>
      <c r="C107" s="29"/>
      <c r="D107" s="30"/>
    </row>
    <row r="108" spans="1:5" ht="20" customHeight="1">
      <c r="A108" s="23" t="s">
        <v>80</v>
      </c>
      <c r="B108" s="24">
        <v>0</v>
      </c>
    </row>
    <row r="109" spans="1:5" ht="20" customHeight="1">
      <c r="A109" s="21" t="s">
        <v>81</v>
      </c>
      <c r="B109" s="32">
        <v>0</v>
      </c>
      <c r="C109" s="34"/>
      <c r="D109" s="35"/>
    </row>
    <row r="112" spans="1:5" ht="20" customHeight="1">
      <c r="A112" s="21" t="s">
        <v>82</v>
      </c>
      <c r="C112" s="34"/>
      <c r="D112" s="35"/>
    </row>
    <row r="113" spans="1:5" ht="20" customHeight="1">
      <c r="A113" s="23" t="s">
        <v>83</v>
      </c>
      <c r="B113" s="24">
        <v>43914</v>
      </c>
      <c r="E113" s="27" t="s">
        <v>337</v>
      </c>
    </row>
    <row r="114" spans="1:5" ht="20" customHeight="1">
      <c r="A114" s="23" t="s">
        <v>84</v>
      </c>
      <c r="B114" s="24">
        <v>1545</v>
      </c>
      <c r="E114" s="27" t="s">
        <v>337</v>
      </c>
    </row>
    <row r="115" spans="1:5" ht="20" customHeight="1">
      <c r="A115" s="21" t="s">
        <v>85</v>
      </c>
      <c r="B115" s="32">
        <v>45459</v>
      </c>
      <c r="E115" s="27"/>
    </row>
    <row r="116" spans="1:5" ht="20" customHeight="1">
      <c r="C116" s="25"/>
      <c r="D116" s="26"/>
    </row>
    <row r="117" spans="1:5" ht="20" customHeight="1">
      <c r="A117" s="20" t="s">
        <v>64</v>
      </c>
      <c r="B117" s="36">
        <v>4655647</v>
      </c>
      <c r="C117" s="25"/>
      <c r="D117" s="26"/>
    </row>
    <row r="118" spans="1:5" ht="20" customHeight="1">
      <c r="C118" s="25"/>
      <c r="D118" s="26"/>
    </row>
    <row r="119" spans="1:5" ht="20" customHeight="1">
      <c r="A119" s="20" t="s">
        <v>86</v>
      </c>
      <c r="B119" s="36">
        <v>6063347</v>
      </c>
      <c r="C119" s="25"/>
      <c r="D119" s="26"/>
    </row>
    <row r="120" spans="1:5" ht="20" customHeight="1">
      <c r="A120" s="20"/>
      <c r="B120" s="36"/>
      <c r="C120" s="25"/>
      <c r="D120" s="26"/>
    </row>
    <row r="121" spans="1:5" ht="20" customHeight="1">
      <c r="C121" s="25"/>
      <c r="D121" s="26"/>
    </row>
    <row r="122" spans="1:5" ht="20" customHeight="1">
      <c r="A122" s="20" t="s">
        <v>87</v>
      </c>
      <c r="C122" s="25"/>
      <c r="D122" s="26"/>
    </row>
    <row r="123" spans="1:5" ht="20" customHeight="1">
      <c r="A123" s="21" t="s">
        <v>88</v>
      </c>
      <c r="C123" s="25"/>
      <c r="D123" s="26"/>
    </row>
    <row r="124" spans="1:5" ht="20" customHeight="1">
      <c r="A124" s="23" t="s">
        <v>89</v>
      </c>
      <c r="B124" s="24">
        <v>2081588</v>
      </c>
      <c r="C124" s="25"/>
      <c r="D124" s="26"/>
      <c r="E124" s="27" t="s">
        <v>345</v>
      </c>
    </row>
    <row r="125" spans="1:5" ht="20" customHeight="1">
      <c r="A125" s="23" t="s">
        <v>90</v>
      </c>
      <c r="B125" s="24">
        <v>44767</v>
      </c>
      <c r="C125" s="25"/>
      <c r="D125" s="26"/>
      <c r="E125" s="27" t="s">
        <v>338</v>
      </c>
    </row>
    <row r="126" spans="1:5" ht="20" customHeight="1">
      <c r="A126" s="23" t="s">
        <v>91</v>
      </c>
      <c r="B126" s="24">
        <v>0</v>
      </c>
      <c r="C126" s="25"/>
      <c r="D126" s="26"/>
      <c r="E126" s="27"/>
    </row>
    <row r="127" spans="1:5" ht="20" customHeight="1">
      <c r="A127" s="23" t="s">
        <v>92</v>
      </c>
      <c r="B127" s="24">
        <v>420488</v>
      </c>
      <c r="C127" s="25"/>
      <c r="D127" s="26"/>
      <c r="E127" s="27" t="s">
        <v>338</v>
      </c>
    </row>
    <row r="128" spans="1:5" ht="20" customHeight="1">
      <c r="A128" s="23" t="s">
        <v>93</v>
      </c>
      <c r="B128" s="24">
        <v>110970</v>
      </c>
      <c r="C128" s="25"/>
      <c r="D128" s="26"/>
      <c r="E128" s="27" t="s">
        <v>338</v>
      </c>
    </row>
    <row r="129" spans="1:5" ht="20" customHeight="1">
      <c r="A129" s="23" t="s">
        <v>94</v>
      </c>
      <c r="B129" s="24">
        <v>-6500</v>
      </c>
      <c r="C129" s="25"/>
      <c r="D129" s="26"/>
      <c r="E129" s="27" t="s">
        <v>338</v>
      </c>
    </row>
    <row r="130" spans="1:5" ht="20" customHeight="1">
      <c r="A130" s="23" t="s">
        <v>95</v>
      </c>
      <c r="B130" s="24">
        <v>145526</v>
      </c>
      <c r="C130" s="25"/>
      <c r="D130" s="26"/>
      <c r="E130" s="27" t="s">
        <v>338</v>
      </c>
    </row>
    <row r="131" spans="1:5" ht="20" customHeight="1">
      <c r="A131" s="23" t="s">
        <v>96</v>
      </c>
      <c r="B131" s="24">
        <v>0</v>
      </c>
      <c r="C131" s="25"/>
      <c r="D131" s="26"/>
      <c r="E131" s="27"/>
    </row>
    <row r="132" spans="1:5" ht="20" customHeight="1">
      <c r="A132" s="23" t="s">
        <v>97</v>
      </c>
      <c r="B132" s="24">
        <v>247095</v>
      </c>
      <c r="C132" s="25"/>
      <c r="D132" s="26"/>
      <c r="E132" s="27" t="s">
        <v>341</v>
      </c>
    </row>
    <row r="133" spans="1:5" ht="20" customHeight="1">
      <c r="A133" s="23" t="s">
        <v>98</v>
      </c>
      <c r="B133" s="24">
        <v>224842</v>
      </c>
      <c r="C133" s="25"/>
      <c r="D133" s="26"/>
      <c r="E133" s="27" t="s">
        <v>345</v>
      </c>
    </row>
    <row r="134" spans="1:5" ht="20" customHeight="1">
      <c r="A134" s="23" t="s">
        <v>99</v>
      </c>
      <c r="B134" s="24">
        <v>0</v>
      </c>
      <c r="C134" s="25"/>
      <c r="D134" s="26"/>
    </row>
    <row r="135" spans="1:5" ht="20" customHeight="1">
      <c r="A135" s="23" t="s">
        <v>100</v>
      </c>
      <c r="B135" s="24">
        <v>29756</v>
      </c>
      <c r="C135" s="25"/>
      <c r="D135" s="26"/>
      <c r="E135" s="27" t="s">
        <v>345</v>
      </c>
    </row>
    <row r="136" spans="1:5" ht="20" customHeight="1">
      <c r="A136" s="23" t="s">
        <v>101</v>
      </c>
      <c r="B136" s="24">
        <v>0</v>
      </c>
      <c r="C136" s="25"/>
      <c r="D136" s="26"/>
      <c r="E136" s="27"/>
    </row>
    <row r="137" spans="1:5" ht="20" customHeight="1">
      <c r="A137" s="23" t="s">
        <v>102</v>
      </c>
      <c r="B137" s="24">
        <v>66912</v>
      </c>
      <c r="C137" s="25"/>
      <c r="D137" s="26"/>
      <c r="E137" s="27" t="s">
        <v>345</v>
      </c>
    </row>
    <row r="138" spans="1:5" ht="20" customHeight="1">
      <c r="A138" s="23" t="s">
        <v>103</v>
      </c>
      <c r="B138" s="24">
        <v>0</v>
      </c>
      <c r="C138" s="25"/>
      <c r="D138" s="26"/>
      <c r="E138" s="27"/>
    </row>
    <row r="139" spans="1:5" ht="20" customHeight="1">
      <c r="E139" s="27"/>
    </row>
    <row r="140" spans="1:5" ht="20" customHeight="1">
      <c r="A140" s="23" t="s">
        <v>104</v>
      </c>
      <c r="B140" s="24">
        <v>6960</v>
      </c>
      <c r="C140" s="25"/>
      <c r="D140" s="26"/>
      <c r="E140" s="27" t="s">
        <v>345</v>
      </c>
    </row>
    <row r="141" spans="1:5" ht="20" customHeight="1">
      <c r="A141" s="23" t="s">
        <v>105</v>
      </c>
      <c r="B141" s="24">
        <v>0</v>
      </c>
      <c r="C141" s="25"/>
      <c r="D141" s="26"/>
      <c r="E141" s="27"/>
    </row>
    <row r="142" spans="1:5" ht="20" customHeight="1">
      <c r="A142" s="23" t="s">
        <v>106</v>
      </c>
      <c r="B142" s="24">
        <v>27400</v>
      </c>
      <c r="C142" s="25"/>
      <c r="D142" s="26"/>
      <c r="E142" s="27" t="s">
        <v>345</v>
      </c>
    </row>
    <row r="143" spans="1:5" ht="20" customHeight="1">
      <c r="A143" s="23" t="s">
        <v>107</v>
      </c>
      <c r="B143" s="24">
        <v>1387</v>
      </c>
      <c r="C143" s="25"/>
      <c r="D143" s="26"/>
      <c r="E143" s="27" t="s">
        <v>345</v>
      </c>
    </row>
    <row r="144" spans="1:5" ht="20" customHeight="1">
      <c r="A144" s="23" t="s">
        <v>108</v>
      </c>
      <c r="B144" s="24">
        <v>48431</v>
      </c>
      <c r="C144" s="29"/>
      <c r="D144" s="30"/>
      <c r="E144" s="27" t="s">
        <v>345</v>
      </c>
    </row>
    <row r="145" spans="1:5" ht="20" customHeight="1">
      <c r="A145" s="23" t="s">
        <v>109</v>
      </c>
      <c r="B145" s="24">
        <v>0</v>
      </c>
      <c r="E145" s="27"/>
    </row>
    <row r="146" spans="1:5" ht="20" customHeight="1">
      <c r="A146" s="23" t="s">
        <v>110</v>
      </c>
      <c r="B146" s="24">
        <v>5952</v>
      </c>
      <c r="E146" s="27" t="s">
        <v>345</v>
      </c>
    </row>
    <row r="147" spans="1:5" ht="20" customHeight="1">
      <c r="A147" s="23" t="s">
        <v>111</v>
      </c>
      <c r="B147" s="24">
        <v>3661</v>
      </c>
      <c r="C147" s="25"/>
      <c r="D147" s="26"/>
      <c r="E147" s="27" t="s">
        <v>345</v>
      </c>
    </row>
    <row r="148" spans="1:5" ht="20" customHeight="1">
      <c r="A148" s="23" t="s">
        <v>112</v>
      </c>
      <c r="B148" s="24">
        <v>3811</v>
      </c>
      <c r="C148" s="25"/>
      <c r="D148" s="26"/>
      <c r="E148" s="27" t="s">
        <v>345</v>
      </c>
    </row>
    <row r="149" spans="1:5" ht="20" customHeight="1">
      <c r="A149" s="23" t="s">
        <v>113</v>
      </c>
      <c r="B149" s="24">
        <v>-42318</v>
      </c>
      <c r="C149" s="25"/>
      <c r="D149" s="26"/>
      <c r="E149" s="27" t="s">
        <v>345</v>
      </c>
    </row>
    <row r="150" spans="1:5" ht="20" customHeight="1">
      <c r="A150" s="23" t="s">
        <v>114</v>
      </c>
      <c r="B150" s="24">
        <v>11834</v>
      </c>
      <c r="C150" s="25"/>
      <c r="D150" s="26"/>
      <c r="E150" s="27" t="s">
        <v>345</v>
      </c>
    </row>
    <row r="151" spans="1:5" ht="20" customHeight="1">
      <c r="A151" s="21" t="s">
        <v>115</v>
      </c>
      <c r="B151" s="32">
        <v>3432562</v>
      </c>
      <c r="C151" s="25"/>
      <c r="D151" s="26"/>
      <c r="E151" s="27"/>
    </row>
    <row r="152" spans="1:5" ht="20" customHeight="1">
      <c r="C152" s="25"/>
      <c r="D152" s="26"/>
    </row>
    <row r="153" spans="1:5" ht="20" customHeight="1">
      <c r="A153" s="21" t="s">
        <v>116</v>
      </c>
      <c r="C153" s="25"/>
      <c r="D153" s="26"/>
    </row>
    <row r="154" spans="1:5" ht="20" customHeight="1">
      <c r="A154" s="23" t="s">
        <v>117</v>
      </c>
      <c r="B154" s="24">
        <v>20354</v>
      </c>
      <c r="C154" s="25"/>
      <c r="D154" s="26"/>
      <c r="E154" s="27" t="s">
        <v>345</v>
      </c>
    </row>
    <row r="155" spans="1:5" ht="20" customHeight="1">
      <c r="A155" s="23" t="s">
        <v>118</v>
      </c>
      <c r="B155" s="24">
        <v>0</v>
      </c>
      <c r="C155" s="25"/>
      <c r="D155" s="26"/>
      <c r="E155" s="27"/>
    </row>
    <row r="156" spans="1:5" ht="20" customHeight="1">
      <c r="A156" s="23" t="s">
        <v>119</v>
      </c>
      <c r="B156" s="24">
        <v>9720</v>
      </c>
      <c r="C156" s="25"/>
      <c r="D156" s="26"/>
      <c r="E156" s="27" t="s">
        <v>345</v>
      </c>
    </row>
    <row r="157" spans="1:5" ht="20" customHeight="1">
      <c r="A157" s="23" t="s">
        <v>120</v>
      </c>
      <c r="B157" s="24">
        <v>9666</v>
      </c>
      <c r="C157" s="25"/>
      <c r="D157" s="26"/>
      <c r="E157" s="27" t="s">
        <v>345</v>
      </c>
    </row>
    <row r="158" spans="1:5" ht="20" customHeight="1">
      <c r="A158" s="23" t="s">
        <v>121</v>
      </c>
      <c r="B158" s="24">
        <v>278726</v>
      </c>
      <c r="C158" s="25"/>
      <c r="D158" s="26"/>
      <c r="E158" s="27" t="s">
        <v>339</v>
      </c>
    </row>
    <row r="159" spans="1:5" ht="20" customHeight="1">
      <c r="A159" s="23" t="s">
        <v>122</v>
      </c>
      <c r="B159" s="24">
        <v>91023</v>
      </c>
      <c r="C159" s="29"/>
      <c r="D159" s="30"/>
      <c r="E159" s="27" t="s">
        <v>345</v>
      </c>
    </row>
    <row r="160" spans="1:5" ht="20" customHeight="1">
      <c r="A160" s="23" t="s">
        <v>123</v>
      </c>
      <c r="B160" s="24">
        <v>23406</v>
      </c>
      <c r="E160" s="27" t="s">
        <v>343</v>
      </c>
    </row>
    <row r="161" spans="1:5" ht="20" customHeight="1">
      <c r="A161" s="23" t="s">
        <v>124</v>
      </c>
      <c r="B161" s="24">
        <v>0</v>
      </c>
    </row>
    <row r="162" spans="1:5" ht="20" customHeight="1">
      <c r="A162" s="23" t="s">
        <v>125</v>
      </c>
      <c r="B162" s="24">
        <v>0</v>
      </c>
      <c r="C162" s="25"/>
      <c r="D162" s="26"/>
    </row>
    <row r="163" spans="1:5" ht="20" customHeight="1">
      <c r="A163" s="23" t="s">
        <v>126</v>
      </c>
      <c r="B163" s="24">
        <v>0</v>
      </c>
      <c r="C163" s="25"/>
      <c r="D163" s="26"/>
      <c r="E163" s="27"/>
    </row>
    <row r="164" spans="1:5" ht="20" customHeight="1">
      <c r="A164" s="23" t="s">
        <v>127</v>
      </c>
      <c r="B164" s="24">
        <v>9660</v>
      </c>
      <c r="C164" s="25"/>
      <c r="D164" s="26"/>
      <c r="E164" s="27" t="s">
        <v>345</v>
      </c>
    </row>
    <row r="165" spans="1:5" ht="20" customHeight="1">
      <c r="A165" s="23" t="s">
        <v>128</v>
      </c>
      <c r="B165" s="24">
        <v>0</v>
      </c>
      <c r="C165" s="25"/>
      <c r="D165" s="26"/>
      <c r="E165" s="27"/>
    </row>
    <row r="166" spans="1:5" ht="20" customHeight="1">
      <c r="A166" s="21" t="s">
        <v>129</v>
      </c>
      <c r="B166" s="32">
        <v>442555</v>
      </c>
      <c r="C166" s="25"/>
      <c r="D166" s="26"/>
    </row>
    <row r="168" spans="1:5" ht="20" customHeight="1">
      <c r="C168" s="25"/>
      <c r="D168" s="26"/>
    </row>
    <row r="169" spans="1:5" ht="20" customHeight="1">
      <c r="A169" s="21" t="s">
        <v>130</v>
      </c>
      <c r="C169" s="25"/>
      <c r="D169" s="26"/>
    </row>
    <row r="170" spans="1:5" ht="20" customHeight="1">
      <c r="A170" s="23" t="s">
        <v>131</v>
      </c>
      <c r="B170" s="24">
        <v>9542</v>
      </c>
      <c r="C170" s="25"/>
      <c r="D170" s="26"/>
      <c r="E170" s="27" t="s">
        <v>345</v>
      </c>
    </row>
    <row r="171" spans="1:5" ht="20" customHeight="1">
      <c r="A171" s="23" t="s">
        <v>132</v>
      </c>
      <c r="B171" s="24">
        <v>8191</v>
      </c>
      <c r="C171" s="25"/>
      <c r="D171" s="26"/>
      <c r="E171" s="27" t="s">
        <v>345</v>
      </c>
    </row>
    <row r="172" spans="1:5" ht="20" customHeight="1">
      <c r="A172" s="23" t="s">
        <v>133</v>
      </c>
      <c r="B172" s="24">
        <v>0</v>
      </c>
      <c r="C172" s="25"/>
      <c r="D172" s="26"/>
      <c r="E172" s="27"/>
    </row>
    <row r="173" spans="1:5" ht="20" customHeight="1">
      <c r="A173" s="23" t="s">
        <v>134</v>
      </c>
      <c r="B173" s="24">
        <v>0</v>
      </c>
      <c r="C173" s="25"/>
      <c r="D173" s="26"/>
      <c r="E173" s="27"/>
    </row>
    <row r="174" spans="1:5" ht="20" customHeight="1">
      <c r="A174" s="23" t="s">
        <v>135</v>
      </c>
      <c r="B174" s="24">
        <v>4759</v>
      </c>
      <c r="C174" s="25"/>
      <c r="D174" s="26"/>
      <c r="E174" s="27" t="s">
        <v>345</v>
      </c>
    </row>
    <row r="175" spans="1:5" ht="20" customHeight="1">
      <c r="A175" s="23" t="s">
        <v>136</v>
      </c>
      <c r="B175" s="24">
        <v>0</v>
      </c>
      <c r="C175" s="25"/>
      <c r="D175" s="26"/>
      <c r="E175" s="27"/>
    </row>
    <row r="176" spans="1:5" ht="20" customHeight="1">
      <c r="A176" s="23" t="s">
        <v>137</v>
      </c>
      <c r="B176" s="24">
        <v>0</v>
      </c>
      <c r="C176" s="29"/>
      <c r="D176" s="30"/>
      <c r="E176" s="27"/>
    </row>
    <row r="177" spans="1:5" ht="20" customHeight="1">
      <c r="A177" s="23" t="s">
        <v>138</v>
      </c>
      <c r="B177" s="24">
        <v>154</v>
      </c>
      <c r="E177" s="27" t="s">
        <v>345</v>
      </c>
    </row>
    <row r="178" spans="1:5" ht="20" customHeight="1">
      <c r="A178" s="23" t="s">
        <v>139</v>
      </c>
      <c r="B178" s="24">
        <v>0</v>
      </c>
      <c r="E178" s="27"/>
    </row>
    <row r="179" spans="1:5" ht="20" customHeight="1">
      <c r="A179" s="23" t="s">
        <v>140</v>
      </c>
      <c r="B179" s="24">
        <v>2621</v>
      </c>
      <c r="C179" s="25"/>
      <c r="D179" s="26"/>
      <c r="E179" s="27" t="s">
        <v>345</v>
      </c>
    </row>
    <row r="180" spans="1:5" ht="20" customHeight="1">
      <c r="A180" s="23" t="s">
        <v>141</v>
      </c>
      <c r="B180" s="24">
        <v>0</v>
      </c>
      <c r="C180" s="25"/>
      <c r="D180" s="26"/>
      <c r="E180" s="27"/>
    </row>
    <row r="181" spans="1:5" ht="20" customHeight="1">
      <c r="A181" s="23" t="s">
        <v>142</v>
      </c>
      <c r="B181" s="24">
        <v>-37303</v>
      </c>
      <c r="C181" s="25"/>
      <c r="D181" s="26"/>
      <c r="E181" s="27" t="s">
        <v>345</v>
      </c>
    </row>
    <row r="182" spans="1:5" ht="20" customHeight="1">
      <c r="A182" s="23" t="s">
        <v>143</v>
      </c>
      <c r="B182" s="24">
        <v>-1006742</v>
      </c>
      <c r="C182" s="25"/>
      <c r="D182" s="26"/>
      <c r="E182" s="27" t="s">
        <v>345</v>
      </c>
    </row>
    <row r="183" spans="1:5" ht="20" customHeight="1">
      <c r="A183" s="21" t="s">
        <v>144</v>
      </c>
      <c r="B183" s="32">
        <v>-1018778</v>
      </c>
      <c r="C183" s="25"/>
      <c r="D183" s="26"/>
      <c r="E183" s="27"/>
    </row>
    <row r="184" spans="1:5" ht="20" customHeight="1">
      <c r="C184" s="25"/>
      <c r="D184" s="26"/>
    </row>
    <row r="185" spans="1:5" ht="20" customHeight="1">
      <c r="C185" s="25"/>
      <c r="D185" s="26"/>
    </row>
    <row r="186" spans="1:5" ht="20" customHeight="1">
      <c r="A186" s="21" t="s">
        <v>145</v>
      </c>
      <c r="C186" s="25"/>
      <c r="D186" s="26"/>
    </row>
    <row r="187" spans="1:5" ht="20" customHeight="1">
      <c r="A187" s="23" t="s">
        <v>146</v>
      </c>
      <c r="B187" s="24">
        <v>268</v>
      </c>
      <c r="C187" s="25"/>
      <c r="D187" s="30"/>
      <c r="E187" s="27" t="s">
        <v>340</v>
      </c>
    </row>
    <row r="188" spans="1:5" ht="20" customHeight="1">
      <c r="A188" s="23" t="s">
        <v>147</v>
      </c>
      <c r="B188" s="24">
        <v>18060</v>
      </c>
      <c r="C188" s="29"/>
      <c r="E188" s="27" t="s">
        <v>340</v>
      </c>
    </row>
    <row r="189" spans="1:5" ht="20" customHeight="1">
      <c r="A189" s="23" t="s">
        <v>148</v>
      </c>
      <c r="B189" s="24">
        <v>154</v>
      </c>
      <c r="E189" s="27" t="s">
        <v>340</v>
      </c>
    </row>
    <row r="190" spans="1:5" ht="20" customHeight="1">
      <c r="A190" s="23" t="s">
        <v>149</v>
      </c>
      <c r="B190" s="24">
        <v>0</v>
      </c>
      <c r="D190" s="26"/>
      <c r="E190" s="27"/>
    </row>
    <row r="191" spans="1:5" ht="20" customHeight="1">
      <c r="A191" s="23" t="s">
        <v>150</v>
      </c>
      <c r="B191" s="24">
        <v>6611</v>
      </c>
      <c r="C191" s="25"/>
      <c r="D191" s="26"/>
      <c r="E191" s="27" t="s">
        <v>340</v>
      </c>
    </row>
    <row r="192" spans="1:5" ht="20" customHeight="1">
      <c r="A192" s="23" t="s">
        <v>151</v>
      </c>
      <c r="B192" s="24">
        <v>37</v>
      </c>
      <c r="C192" s="25"/>
      <c r="D192" s="26"/>
      <c r="E192" s="27" t="s">
        <v>340</v>
      </c>
    </row>
    <row r="193" spans="1:5" ht="20" customHeight="1">
      <c r="A193" s="23" t="s">
        <v>152</v>
      </c>
      <c r="B193" s="24">
        <v>3772</v>
      </c>
      <c r="C193" s="25"/>
      <c r="D193" s="26"/>
      <c r="E193" s="27" t="s">
        <v>340</v>
      </c>
    </row>
    <row r="194" spans="1:5" ht="20" customHeight="1">
      <c r="A194" s="23" t="s">
        <v>153</v>
      </c>
      <c r="B194" s="24">
        <v>0</v>
      </c>
      <c r="C194" s="25"/>
      <c r="D194" s="26"/>
      <c r="E194" s="27"/>
    </row>
    <row r="195" spans="1:5" ht="20" customHeight="1">
      <c r="A195" s="21" t="s">
        <v>154</v>
      </c>
      <c r="B195" s="32">
        <v>28901</v>
      </c>
      <c r="C195" s="25"/>
      <c r="E195" s="27"/>
    </row>
    <row r="196" spans="1:5" ht="20" customHeight="1">
      <c r="D196" s="26"/>
    </row>
    <row r="197" spans="1:5" ht="20" customHeight="1">
      <c r="C197" s="25"/>
      <c r="D197" s="26"/>
    </row>
    <row r="198" spans="1:5" ht="20" customHeight="1">
      <c r="A198" s="21" t="s">
        <v>155</v>
      </c>
      <c r="C198" s="25"/>
      <c r="D198" s="26"/>
    </row>
    <row r="199" spans="1:5" ht="20" customHeight="1">
      <c r="A199" s="23" t="s">
        <v>156</v>
      </c>
      <c r="B199" s="24">
        <v>84250</v>
      </c>
      <c r="C199" s="25"/>
      <c r="D199" s="26"/>
      <c r="E199" s="27" t="s">
        <v>345</v>
      </c>
    </row>
    <row r="200" spans="1:5" ht="20" customHeight="1">
      <c r="A200" s="23" t="s">
        <v>157</v>
      </c>
      <c r="B200" s="24">
        <v>545321</v>
      </c>
      <c r="C200" s="25"/>
      <c r="D200" s="26"/>
      <c r="E200" s="27" t="s">
        <v>345</v>
      </c>
    </row>
    <row r="201" spans="1:5" ht="20" customHeight="1">
      <c r="A201" s="23" t="s">
        <v>158</v>
      </c>
      <c r="B201" s="24">
        <v>44615</v>
      </c>
      <c r="C201" s="25"/>
      <c r="D201" s="26"/>
      <c r="E201" s="27" t="s">
        <v>345</v>
      </c>
    </row>
    <row r="202" spans="1:5" ht="20" customHeight="1">
      <c r="A202" s="23" t="s">
        <v>159</v>
      </c>
      <c r="B202" s="24">
        <v>13408</v>
      </c>
      <c r="C202" s="25"/>
      <c r="D202" s="26"/>
      <c r="E202" s="27" t="s">
        <v>345</v>
      </c>
    </row>
    <row r="203" spans="1:5" ht="20" customHeight="1">
      <c r="A203" s="23" t="s">
        <v>160</v>
      </c>
      <c r="B203" s="24">
        <v>6400</v>
      </c>
      <c r="C203" s="25"/>
      <c r="D203" s="26"/>
      <c r="E203" s="27" t="s">
        <v>345</v>
      </c>
    </row>
    <row r="204" spans="1:5" ht="20" customHeight="1">
      <c r="A204" s="23" t="s">
        <v>161</v>
      </c>
      <c r="B204" s="24">
        <v>49586</v>
      </c>
      <c r="C204" s="25"/>
      <c r="D204" s="26"/>
      <c r="E204" s="27" t="s">
        <v>345</v>
      </c>
    </row>
    <row r="205" spans="1:5" ht="20" customHeight="1">
      <c r="A205" s="23" t="s">
        <v>162</v>
      </c>
      <c r="B205" s="24">
        <v>0</v>
      </c>
      <c r="C205" s="25"/>
      <c r="D205" s="26"/>
      <c r="E205" s="27"/>
    </row>
    <row r="206" spans="1:5" ht="20" customHeight="1">
      <c r="A206" s="23" t="s">
        <v>163</v>
      </c>
      <c r="B206" s="24">
        <v>1912</v>
      </c>
      <c r="C206" s="25"/>
      <c r="D206" s="26"/>
      <c r="E206" s="27" t="s">
        <v>345</v>
      </c>
    </row>
    <row r="207" spans="1:5" ht="20" customHeight="1">
      <c r="A207" s="23" t="s">
        <v>164</v>
      </c>
      <c r="B207" s="24">
        <v>0</v>
      </c>
      <c r="C207" s="25"/>
      <c r="D207" s="26"/>
      <c r="E207" s="27"/>
    </row>
    <row r="208" spans="1:5" ht="20" customHeight="1">
      <c r="A208" s="23" t="s">
        <v>165</v>
      </c>
      <c r="B208" s="24">
        <v>3782</v>
      </c>
      <c r="C208" s="25"/>
      <c r="D208" s="26"/>
      <c r="E208" s="27" t="s">
        <v>345</v>
      </c>
    </row>
    <row r="209" spans="1:5" ht="20" customHeight="1">
      <c r="A209" s="23" t="s">
        <v>166</v>
      </c>
      <c r="B209" s="24">
        <v>4867</v>
      </c>
      <c r="C209" s="25"/>
      <c r="D209" s="26"/>
      <c r="E209" s="27" t="s">
        <v>345</v>
      </c>
    </row>
    <row r="210" spans="1:5" ht="20" customHeight="1">
      <c r="A210" s="23" t="s">
        <v>167</v>
      </c>
      <c r="B210" s="24">
        <v>31449</v>
      </c>
      <c r="C210" s="25"/>
      <c r="D210" s="26"/>
      <c r="E210" s="27" t="s">
        <v>345</v>
      </c>
    </row>
    <row r="211" spans="1:5" ht="20" customHeight="1">
      <c r="A211" s="23" t="s">
        <v>168</v>
      </c>
      <c r="B211" s="24">
        <v>67582</v>
      </c>
      <c r="C211" s="25"/>
      <c r="D211" s="26"/>
      <c r="E211" s="27" t="s">
        <v>345</v>
      </c>
    </row>
    <row r="212" spans="1:5" ht="20" customHeight="1">
      <c r="A212" s="23" t="s">
        <v>169</v>
      </c>
      <c r="B212" s="24">
        <v>14344</v>
      </c>
      <c r="C212" s="25"/>
      <c r="D212" s="26"/>
      <c r="E212" s="27" t="s">
        <v>345</v>
      </c>
    </row>
    <row r="213" spans="1:5" ht="20" customHeight="1">
      <c r="A213" s="23" t="s">
        <v>170</v>
      </c>
      <c r="B213" s="24">
        <v>37115</v>
      </c>
      <c r="C213" s="25"/>
      <c r="D213" s="30"/>
      <c r="E213" s="27" t="s">
        <v>345</v>
      </c>
    </row>
    <row r="214" spans="1:5" ht="20" customHeight="1">
      <c r="A214" s="23" t="s">
        <v>171</v>
      </c>
      <c r="B214" s="24">
        <v>15410</v>
      </c>
      <c r="C214" s="29"/>
      <c r="E214" s="27" t="s">
        <v>345</v>
      </c>
    </row>
    <row r="215" spans="1:5" ht="20" customHeight="1">
      <c r="A215" s="23" t="s">
        <v>172</v>
      </c>
      <c r="B215" s="24">
        <v>26566</v>
      </c>
      <c r="E215" s="27" t="s">
        <v>345</v>
      </c>
    </row>
    <row r="216" spans="1:5" ht="20" customHeight="1">
      <c r="A216" s="23" t="s">
        <v>173</v>
      </c>
      <c r="B216" s="24">
        <v>9786</v>
      </c>
      <c r="D216" s="26"/>
      <c r="E216" s="27" t="s">
        <v>345</v>
      </c>
    </row>
    <row r="217" spans="1:5" ht="20" customHeight="1">
      <c r="A217" s="23" t="s">
        <v>174</v>
      </c>
      <c r="B217" s="24">
        <v>1135</v>
      </c>
      <c r="C217" s="25"/>
      <c r="D217" s="26"/>
      <c r="E217" s="27" t="s">
        <v>345</v>
      </c>
    </row>
    <row r="218" spans="1:5" ht="20" customHeight="1">
      <c r="A218" s="23" t="s">
        <v>175</v>
      </c>
      <c r="B218" s="24">
        <v>6143</v>
      </c>
      <c r="C218" s="25"/>
      <c r="D218" s="26"/>
      <c r="E218" s="27" t="s">
        <v>345</v>
      </c>
    </row>
    <row r="219" spans="1:5" ht="20" customHeight="1">
      <c r="A219" s="23" t="s">
        <v>176</v>
      </c>
      <c r="B219" s="24">
        <v>11227</v>
      </c>
      <c r="C219" s="25"/>
      <c r="D219" s="26"/>
      <c r="E219" s="27" t="s">
        <v>345</v>
      </c>
    </row>
    <row r="220" spans="1:5" ht="20" customHeight="1">
      <c r="A220" s="23" t="s">
        <v>177</v>
      </c>
      <c r="B220" s="24">
        <v>13300</v>
      </c>
      <c r="C220" s="25"/>
      <c r="D220" s="26"/>
      <c r="E220" s="27" t="s">
        <v>345</v>
      </c>
    </row>
    <row r="221" spans="1:5" ht="20" customHeight="1">
      <c r="A221" s="21" t="s">
        <v>178</v>
      </c>
      <c r="B221" s="32">
        <v>988198</v>
      </c>
      <c r="C221" s="25"/>
      <c r="D221" s="26"/>
    </row>
    <row r="222" spans="1:5" ht="20" customHeight="1">
      <c r="C222" s="25"/>
      <c r="D222" s="26"/>
    </row>
    <row r="223" spans="1:5" ht="20" customHeight="1">
      <c r="A223" s="6"/>
      <c r="C223" s="25"/>
    </row>
    <row r="224" spans="1:5" ht="20" customHeight="1">
      <c r="A224" s="21" t="s">
        <v>179</v>
      </c>
      <c r="D224" s="26"/>
    </row>
    <row r="225" spans="1:5" ht="20" customHeight="1">
      <c r="A225" s="23" t="s">
        <v>180</v>
      </c>
      <c r="B225" s="24">
        <v>311819</v>
      </c>
      <c r="C225" s="25"/>
      <c r="D225" s="26"/>
      <c r="E225" s="27" t="s">
        <v>345</v>
      </c>
    </row>
    <row r="226" spans="1:5" ht="20" customHeight="1">
      <c r="A226" s="23" t="s">
        <v>181</v>
      </c>
      <c r="B226" s="24">
        <v>223208</v>
      </c>
      <c r="C226" s="25"/>
      <c r="D226" s="26"/>
      <c r="E226" s="27" t="s">
        <v>345</v>
      </c>
    </row>
    <row r="227" spans="1:5" ht="20" customHeight="1">
      <c r="A227" s="23" t="s">
        <v>182</v>
      </c>
      <c r="B227" s="24">
        <v>2471</v>
      </c>
      <c r="C227" s="25"/>
      <c r="D227" s="26"/>
      <c r="E227" s="27" t="s">
        <v>345</v>
      </c>
    </row>
    <row r="228" spans="1:5" ht="20" customHeight="1">
      <c r="A228" s="23" t="s">
        <v>183</v>
      </c>
      <c r="B228" s="24">
        <v>0</v>
      </c>
      <c r="C228" s="25"/>
      <c r="D228" s="26"/>
    </row>
    <row r="229" spans="1:5" ht="20" customHeight="1">
      <c r="A229" s="23" t="s">
        <v>184</v>
      </c>
      <c r="B229" s="24">
        <v>0</v>
      </c>
      <c r="C229" s="25"/>
      <c r="D229" s="26"/>
    </row>
    <row r="230" spans="1:5" ht="20" customHeight="1">
      <c r="A230" s="23" t="s">
        <v>660</v>
      </c>
      <c r="B230" s="24">
        <v>0</v>
      </c>
      <c r="C230" s="25"/>
      <c r="D230" s="26"/>
    </row>
    <row r="231" spans="1:5" ht="20" customHeight="1">
      <c r="A231" s="23" t="s">
        <v>185</v>
      </c>
      <c r="B231" s="24">
        <v>0</v>
      </c>
      <c r="C231" s="25"/>
      <c r="D231" s="26"/>
      <c r="E231" s="27" t="s">
        <v>345</v>
      </c>
    </row>
    <row r="232" spans="1:5" ht="20" customHeight="1">
      <c r="A232" s="23" t="s">
        <v>186</v>
      </c>
      <c r="B232" s="24">
        <v>108440</v>
      </c>
      <c r="C232" s="25"/>
      <c r="D232" s="26"/>
      <c r="E232" s="27" t="s">
        <v>345</v>
      </c>
    </row>
    <row r="233" spans="1:5" ht="20" customHeight="1">
      <c r="A233" s="23" t="s">
        <v>187</v>
      </c>
      <c r="B233" s="24">
        <v>0</v>
      </c>
      <c r="C233" s="25"/>
      <c r="D233" s="26"/>
      <c r="E233" s="27" t="s">
        <v>345</v>
      </c>
    </row>
    <row r="234" spans="1:5" ht="20" customHeight="1">
      <c r="A234" s="23" t="s">
        <v>188</v>
      </c>
      <c r="B234" s="24">
        <v>0</v>
      </c>
      <c r="C234" s="25"/>
      <c r="D234" s="26"/>
    </row>
    <row r="235" spans="1:5" ht="20" customHeight="1">
      <c r="A235" s="23" t="s">
        <v>189</v>
      </c>
      <c r="B235" s="24">
        <v>22851</v>
      </c>
      <c r="C235" s="25"/>
      <c r="D235" s="26"/>
      <c r="E235" s="27" t="s">
        <v>345</v>
      </c>
    </row>
    <row r="236" spans="1:5" ht="20" customHeight="1">
      <c r="A236" s="23" t="s">
        <v>190</v>
      </c>
      <c r="B236" s="24">
        <v>66103</v>
      </c>
      <c r="C236" s="25"/>
      <c r="D236" s="26"/>
      <c r="E236" s="27" t="s">
        <v>345</v>
      </c>
    </row>
    <row r="237" spans="1:5" ht="20" customHeight="1">
      <c r="A237" s="23" t="s">
        <v>191</v>
      </c>
      <c r="B237" s="24">
        <v>31295</v>
      </c>
      <c r="C237" s="25"/>
      <c r="D237" s="26"/>
      <c r="E237" s="27" t="s">
        <v>345</v>
      </c>
    </row>
    <row r="238" spans="1:5" ht="20" customHeight="1">
      <c r="A238" s="23" t="s">
        <v>192</v>
      </c>
      <c r="B238" s="24">
        <v>0</v>
      </c>
      <c r="C238" s="25"/>
      <c r="D238" s="26"/>
    </row>
    <row r="239" spans="1:5" ht="20" customHeight="1">
      <c r="A239" s="23" t="s">
        <v>661</v>
      </c>
      <c r="B239" s="24">
        <v>0</v>
      </c>
      <c r="C239" s="25"/>
      <c r="D239" s="26"/>
    </row>
    <row r="240" spans="1:5" ht="20" customHeight="1">
      <c r="A240" s="23" t="s">
        <v>662</v>
      </c>
      <c r="B240" s="24">
        <v>0</v>
      </c>
      <c r="C240" s="25"/>
      <c r="D240" s="26"/>
    </row>
    <row r="241" spans="1:5" ht="20" customHeight="1">
      <c r="A241" s="23" t="s">
        <v>193</v>
      </c>
      <c r="B241" s="24">
        <v>0</v>
      </c>
      <c r="C241" s="25"/>
      <c r="D241" s="26"/>
    </row>
    <row r="242" spans="1:5" ht="20" customHeight="1">
      <c r="A242" s="23" t="s">
        <v>194</v>
      </c>
      <c r="B242" s="24">
        <v>0</v>
      </c>
      <c r="C242" s="25"/>
      <c r="D242" s="26"/>
    </row>
    <row r="243" spans="1:5" ht="20" customHeight="1">
      <c r="A243" s="23" t="s">
        <v>195</v>
      </c>
      <c r="B243" s="24">
        <v>0</v>
      </c>
      <c r="C243" s="25"/>
      <c r="D243" s="26"/>
    </row>
    <row r="244" spans="1:5" ht="20" customHeight="1">
      <c r="A244" s="23" t="s">
        <v>196</v>
      </c>
      <c r="B244" s="24">
        <v>17649</v>
      </c>
      <c r="C244" s="25"/>
      <c r="D244" s="26"/>
      <c r="E244" s="27" t="s">
        <v>345</v>
      </c>
    </row>
    <row r="245" spans="1:5" ht="20" customHeight="1">
      <c r="A245" s="23" t="s">
        <v>197</v>
      </c>
      <c r="B245" s="24">
        <v>0</v>
      </c>
      <c r="C245" s="25"/>
      <c r="D245" s="26"/>
    </row>
    <row r="246" spans="1:5" ht="20" customHeight="1">
      <c r="A246" s="23" t="s">
        <v>198</v>
      </c>
      <c r="B246" s="24">
        <v>0</v>
      </c>
      <c r="C246" s="25"/>
      <c r="D246" s="26"/>
      <c r="E246" s="27" t="s">
        <v>345</v>
      </c>
    </row>
    <row r="247" spans="1:5" ht="20" customHeight="1">
      <c r="A247" s="23" t="s">
        <v>199</v>
      </c>
      <c r="B247" s="24">
        <v>0</v>
      </c>
      <c r="C247" s="25"/>
      <c r="D247" s="30"/>
    </row>
    <row r="248" spans="1:5" ht="20" customHeight="1">
      <c r="A248" s="23" t="s">
        <v>200</v>
      </c>
      <c r="B248" s="24">
        <v>239401</v>
      </c>
      <c r="C248" s="29"/>
      <c r="E248" s="27" t="s">
        <v>345</v>
      </c>
    </row>
    <row r="249" spans="1:5" ht="20" customHeight="1">
      <c r="A249" s="23" t="s">
        <v>201</v>
      </c>
      <c r="B249" s="24">
        <v>0</v>
      </c>
    </row>
    <row r="250" spans="1:5" ht="20" customHeight="1">
      <c r="A250" s="23" t="s">
        <v>202</v>
      </c>
      <c r="B250" s="24">
        <v>0</v>
      </c>
      <c r="D250" s="26"/>
    </row>
    <row r="251" spans="1:5" ht="20" customHeight="1">
      <c r="A251" s="23" t="s">
        <v>203</v>
      </c>
      <c r="B251" s="24">
        <v>0</v>
      </c>
      <c r="C251" s="25"/>
    </row>
    <row r="252" spans="1:5" ht="20" customHeight="1">
      <c r="D252" s="26"/>
      <c r="E252" s="27" t="s">
        <v>345</v>
      </c>
    </row>
    <row r="253" spans="1:5" ht="20" customHeight="1">
      <c r="A253" s="23" t="s">
        <v>204</v>
      </c>
      <c r="B253" s="24">
        <v>0</v>
      </c>
      <c r="C253" s="25"/>
      <c r="D253" s="26"/>
    </row>
    <row r="254" spans="1:5" ht="20" customHeight="1">
      <c r="A254" s="23" t="s">
        <v>205</v>
      </c>
      <c r="B254" s="24">
        <v>0</v>
      </c>
      <c r="C254" s="25"/>
      <c r="D254" s="26"/>
      <c r="E254" s="27" t="s">
        <v>345</v>
      </c>
    </row>
    <row r="255" spans="1:5" ht="20" customHeight="1">
      <c r="A255" s="23" t="s">
        <v>206</v>
      </c>
      <c r="B255" s="24">
        <v>0</v>
      </c>
      <c r="C255" s="25"/>
      <c r="D255" s="26"/>
    </row>
    <row r="256" spans="1:5" ht="20" customHeight="1">
      <c r="A256" s="21" t="s">
        <v>207</v>
      </c>
      <c r="B256" s="32">
        <v>1023236</v>
      </c>
      <c r="C256" s="25"/>
      <c r="D256" s="26"/>
    </row>
    <row r="257" spans="1:5" ht="20" customHeight="1">
      <c r="C257" s="25"/>
      <c r="D257" s="26"/>
    </row>
    <row r="258" spans="1:5" ht="20" customHeight="1">
      <c r="A258" s="21" t="s">
        <v>208</v>
      </c>
      <c r="C258" s="25"/>
      <c r="D258" s="26"/>
    </row>
    <row r="259" spans="1:5" ht="20" customHeight="1">
      <c r="A259" s="23" t="s">
        <v>209</v>
      </c>
      <c r="B259" s="24">
        <v>1213</v>
      </c>
      <c r="C259" s="25"/>
      <c r="D259" s="30"/>
      <c r="E259" s="37" t="s">
        <v>345</v>
      </c>
    </row>
    <row r="260" spans="1:5" ht="20" customHeight="1">
      <c r="A260" s="23" t="s">
        <v>210</v>
      </c>
      <c r="B260" s="24">
        <v>109970</v>
      </c>
      <c r="C260" s="29"/>
      <c r="E260" s="37" t="s">
        <v>345</v>
      </c>
    </row>
    <row r="261" spans="1:5" ht="20" customHeight="1">
      <c r="A261" s="23" t="s">
        <v>211</v>
      </c>
      <c r="B261" s="24">
        <v>211067</v>
      </c>
      <c r="E261" s="37" t="s">
        <v>345</v>
      </c>
    </row>
    <row r="262" spans="1:5" ht="20" customHeight="1">
      <c r="A262" s="23" t="s">
        <v>212</v>
      </c>
      <c r="B262" s="24">
        <v>0</v>
      </c>
      <c r="D262" s="26"/>
      <c r="E262" s="37"/>
    </row>
    <row r="263" spans="1:5" ht="20" customHeight="1">
      <c r="A263" s="23" t="s">
        <v>213</v>
      </c>
      <c r="B263" s="24">
        <v>245</v>
      </c>
      <c r="C263" s="25"/>
      <c r="D263" s="26"/>
      <c r="E263" s="37" t="s">
        <v>345</v>
      </c>
    </row>
    <row r="264" spans="1:5" ht="20" customHeight="1">
      <c r="A264" s="23" t="s">
        <v>214</v>
      </c>
      <c r="B264" s="24">
        <v>13881</v>
      </c>
      <c r="C264" s="25"/>
      <c r="D264" s="26"/>
      <c r="E264" s="37" t="s">
        <v>345</v>
      </c>
    </row>
    <row r="265" spans="1:5" ht="20" customHeight="1">
      <c r="A265" s="23" t="s">
        <v>215</v>
      </c>
      <c r="B265" s="24">
        <v>0</v>
      </c>
      <c r="C265" s="25"/>
      <c r="D265" s="26"/>
      <c r="E265" s="37"/>
    </row>
    <row r="266" spans="1:5" ht="20" customHeight="1">
      <c r="A266" s="23" t="s">
        <v>216</v>
      </c>
      <c r="B266" s="24">
        <v>350</v>
      </c>
      <c r="C266" s="25"/>
      <c r="D266" s="26"/>
      <c r="E266" s="37" t="s">
        <v>345</v>
      </c>
    </row>
    <row r="267" spans="1:5" ht="20" customHeight="1">
      <c r="A267" s="21" t="s">
        <v>217</v>
      </c>
      <c r="B267" s="32">
        <v>336726</v>
      </c>
      <c r="C267" s="25"/>
      <c r="D267" s="26"/>
    </row>
    <row r="268" spans="1:5" ht="20" customHeight="1">
      <c r="C268" s="25"/>
      <c r="D268" s="26"/>
    </row>
    <row r="269" spans="1:5" ht="20" customHeight="1">
      <c r="A269" s="21" t="s">
        <v>218</v>
      </c>
      <c r="C269" s="25"/>
      <c r="D269" s="26"/>
    </row>
    <row r="270" spans="1:5" ht="20" customHeight="1">
      <c r="A270" s="23" t="s">
        <v>219</v>
      </c>
      <c r="B270" s="24">
        <v>91770</v>
      </c>
      <c r="C270" s="25"/>
      <c r="D270" s="26"/>
      <c r="E270" s="37" t="s">
        <v>345</v>
      </c>
    </row>
    <row r="271" spans="1:5" ht="20" customHeight="1">
      <c r="A271" s="23" t="s">
        <v>220</v>
      </c>
      <c r="B271" s="24">
        <v>3613</v>
      </c>
      <c r="C271" s="25"/>
      <c r="D271" s="26"/>
      <c r="E271" s="37" t="s">
        <v>345</v>
      </c>
    </row>
    <row r="272" spans="1:5" ht="20" customHeight="1">
      <c r="A272" s="23" t="s">
        <v>221</v>
      </c>
      <c r="B272" s="24">
        <v>4499</v>
      </c>
      <c r="C272" s="25"/>
      <c r="D272" s="30"/>
      <c r="E272" s="37" t="s">
        <v>345</v>
      </c>
    </row>
    <row r="273" spans="1:5" ht="20" customHeight="1">
      <c r="A273" s="23" t="s">
        <v>222</v>
      </c>
      <c r="B273" s="24">
        <v>78</v>
      </c>
      <c r="C273" s="29"/>
      <c r="E273" s="37" t="s">
        <v>345</v>
      </c>
    </row>
    <row r="274" spans="1:5" ht="20" customHeight="1">
      <c r="A274" s="23" t="s">
        <v>223</v>
      </c>
      <c r="B274" s="24">
        <v>16263</v>
      </c>
      <c r="E274" s="37" t="s">
        <v>345</v>
      </c>
    </row>
    <row r="275" spans="1:5" ht="20" customHeight="1">
      <c r="A275" s="23" t="s">
        <v>224</v>
      </c>
      <c r="B275" s="24">
        <v>57377</v>
      </c>
      <c r="D275" s="26"/>
      <c r="E275" s="37" t="s">
        <v>345</v>
      </c>
    </row>
    <row r="276" spans="1:5" ht="20" customHeight="1">
      <c r="A276" s="23" t="s">
        <v>225</v>
      </c>
      <c r="B276" s="24">
        <v>23238</v>
      </c>
      <c r="C276" s="25"/>
      <c r="D276" s="26"/>
      <c r="E276" s="37" t="s">
        <v>345</v>
      </c>
    </row>
    <row r="277" spans="1:5" ht="20" customHeight="1">
      <c r="A277" s="23" t="s">
        <v>226</v>
      </c>
      <c r="B277" s="24">
        <v>2163</v>
      </c>
      <c r="C277" s="25"/>
      <c r="D277" s="26"/>
      <c r="E277" s="37" t="s">
        <v>345</v>
      </c>
    </row>
    <row r="278" spans="1:5" ht="20" customHeight="1">
      <c r="A278" s="23" t="s">
        <v>227</v>
      </c>
      <c r="B278" s="24">
        <v>-19508</v>
      </c>
      <c r="C278" s="25"/>
      <c r="D278" s="26"/>
      <c r="E278" s="37" t="s">
        <v>345</v>
      </c>
    </row>
    <row r="279" spans="1:5" ht="20" customHeight="1">
      <c r="A279" s="23" t="s">
        <v>228</v>
      </c>
      <c r="B279" s="24">
        <v>25661</v>
      </c>
      <c r="C279" s="25"/>
      <c r="E279" s="37" t="s">
        <v>345</v>
      </c>
    </row>
    <row r="280" spans="1:5" ht="20" customHeight="1">
      <c r="D280" s="26"/>
    </row>
    <row r="281" spans="1:5" ht="20" customHeight="1">
      <c r="A281" s="21" t="s">
        <v>229</v>
      </c>
      <c r="B281" s="32">
        <v>205154</v>
      </c>
      <c r="C281" s="25"/>
      <c r="D281" s="26"/>
    </row>
    <row r="282" spans="1:5" ht="20" customHeight="1">
      <c r="C282" s="25"/>
      <c r="D282" s="26"/>
    </row>
    <row r="283" spans="1:5" ht="20" customHeight="1">
      <c r="A283" s="21" t="s">
        <v>230</v>
      </c>
      <c r="C283" s="25"/>
      <c r="D283" s="26"/>
    </row>
    <row r="284" spans="1:5" ht="20" customHeight="1">
      <c r="A284" s="23" t="s">
        <v>231</v>
      </c>
      <c r="B284" s="24">
        <v>4884</v>
      </c>
      <c r="C284" s="25"/>
      <c r="D284" s="26"/>
      <c r="E284" s="37" t="s">
        <v>345</v>
      </c>
    </row>
    <row r="285" spans="1:5" ht="20" customHeight="1">
      <c r="A285" s="23" t="s">
        <v>232</v>
      </c>
      <c r="B285" s="24">
        <v>5100</v>
      </c>
      <c r="C285" s="25"/>
      <c r="D285" s="30"/>
      <c r="E285" s="37" t="s">
        <v>345</v>
      </c>
    </row>
    <row r="286" spans="1:5" ht="20" customHeight="1">
      <c r="A286" s="23" t="s">
        <v>233</v>
      </c>
      <c r="B286" s="24">
        <v>17052</v>
      </c>
      <c r="C286" s="29"/>
      <c r="E286" s="37" t="s">
        <v>345</v>
      </c>
    </row>
    <row r="287" spans="1:5" ht="20" customHeight="1">
      <c r="A287" s="23" t="s">
        <v>234</v>
      </c>
      <c r="B287" s="24">
        <v>0</v>
      </c>
    </row>
    <row r="288" spans="1:5" ht="20" customHeight="1">
      <c r="A288" s="23" t="s">
        <v>235</v>
      </c>
      <c r="B288" s="24">
        <v>2544</v>
      </c>
      <c r="D288" s="26"/>
      <c r="E288" s="37" t="s">
        <v>345</v>
      </c>
    </row>
    <row r="289" spans="1:5" ht="20" customHeight="1">
      <c r="A289" s="23" t="s">
        <v>236</v>
      </c>
      <c r="B289" s="24">
        <v>0</v>
      </c>
      <c r="C289" s="25"/>
      <c r="D289" s="26"/>
    </row>
    <row r="290" spans="1:5" ht="20" customHeight="1">
      <c r="A290" s="23" t="s">
        <v>237</v>
      </c>
      <c r="B290" s="24">
        <v>0</v>
      </c>
      <c r="C290" s="25"/>
      <c r="D290" s="26"/>
    </row>
    <row r="291" spans="1:5" ht="20" customHeight="1">
      <c r="A291" s="23" t="s">
        <v>238</v>
      </c>
      <c r="B291" s="24">
        <v>3738</v>
      </c>
      <c r="C291" s="25"/>
      <c r="D291" s="26"/>
      <c r="E291" s="27" t="s">
        <v>345</v>
      </c>
    </row>
    <row r="292" spans="1:5" ht="20" customHeight="1">
      <c r="A292" s="23" t="s">
        <v>239</v>
      </c>
      <c r="B292" s="24">
        <v>0</v>
      </c>
      <c r="C292" s="25"/>
      <c r="D292" s="26"/>
    </row>
    <row r="293" spans="1:5" ht="20" customHeight="1">
      <c r="A293" s="21" t="s">
        <v>240</v>
      </c>
      <c r="B293" s="32">
        <v>33318</v>
      </c>
      <c r="C293" s="25"/>
      <c r="D293" s="26"/>
    </row>
    <row r="294" spans="1:5" ht="20" customHeight="1">
      <c r="C294" s="25"/>
      <c r="D294" s="26"/>
    </row>
    <row r="295" spans="1:5" ht="20" customHeight="1">
      <c r="A295" s="21" t="s">
        <v>241</v>
      </c>
      <c r="C295" s="25"/>
      <c r="D295" s="26"/>
    </row>
    <row r="296" spans="1:5" ht="20" customHeight="1">
      <c r="A296" s="23" t="s">
        <v>242</v>
      </c>
      <c r="B296" s="24">
        <v>57897</v>
      </c>
      <c r="C296" s="25"/>
      <c r="D296" s="26"/>
      <c r="E296" s="27" t="s">
        <v>338</v>
      </c>
    </row>
    <row r="297" spans="1:5" ht="20" customHeight="1">
      <c r="A297" s="23" t="s">
        <v>243</v>
      </c>
      <c r="B297" s="24">
        <v>15903</v>
      </c>
      <c r="C297" s="25"/>
      <c r="D297" s="26"/>
      <c r="E297" s="37" t="s">
        <v>345</v>
      </c>
    </row>
    <row r="298" spans="1:5" ht="20" customHeight="1">
      <c r="A298" s="23" t="s">
        <v>244</v>
      </c>
      <c r="B298" s="24">
        <v>0</v>
      </c>
      <c r="C298" s="25"/>
      <c r="D298" s="26"/>
      <c r="E298" s="37"/>
    </row>
    <row r="299" spans="1:5" ht="20" customHeight="1">
      <c r="A299" s="23" t="s">
        <v>245</v>
      </c>
      <c r="B299" s="24">
        <v>357</v>
      </c>
      <c r="C299" s="25"/>
      <c r="D299" s="26"/>
      <c r="E299" s="37" t="s">
        <v>345</v>
      </c>
    </row>
    <row r="300" spans="1:5" ht="20" customHeight="1">
      <c r="A300" s="23" t="s">
        <v>246</v>
      </c>
      <c r="B300" s="24">
        <v>39897</v>
      </c>
      <c r="C300" s="25"/>
      <c r="D300" s="26"/>
      <c r="E300" s="37" t="s">
        <v>345</v>
      </c>
    </row>
    <row r="301" spans="1:5" ht="20" customHeight="1">
      <c r="A301" s="23" t="s">
        <v>247</v>
      </c>
      <c r="B301" s="24">
        <v>53167</v>
      </c>
      <c r="C301" s="25"/>
      <c r="D301" s="30"/>
      <c r="E301" s="37" t="s">
        <v>345</v>
      </c>
    </row>
    <row r="302" spans="1:5" ht="20" customHeight="1">
      <c r="A302" s="23" t="s">
        <v>248</v>
      </c>
      <c r="B302" s="24">
        <v>12650</v>
      </c>
      <c r="C302" s="29"/>
      <c r="E302" s="37" t="s">
        <v>345</v>
      </c>
    </row>
    <row r="303" spans="1:5" ht="20" customHeight="1">
      <c r="A303" s="23" t="s">
        <v>249</v>
      </c>
      <c r="B303" s="24">
        <v>9666</v>
      </c>
      <c r="E303" s="37" t="s">
        <v>345</v>
      </c>
    </row>
    <row r="304" spans="1:5" ht="20" customHeight="1">
      <c r="A304" s="23" t="s">
        <v>250</v>
      </c>
      <c r="B304" s="24">
        <v>0</v>
      </c>
      <c r="D304" s="26"/>
      <c r="E304" s="37"/>
    </row>
    <row r="305" spans="1:5" ht="20" customHeight="1">
      <c r="A305" s="23" t="s">
        <v>251</v>
      </c>
      <c r="B305" s="24">
        <v>0</v>
      </c>
      <c r="C305" s="25"/>
      <c r="D305" s="26"/>
    </row>
    <row r="306" spans="1:5" ht="20" customHeight="1">
      <c r="A306" s="23" t="s">
        <v>252</v>
      </c>
      <c r="B306" s="24">
        <v>0</v>
      </c>
      <c r="C306" s="25"/>
      <c r="D306" s="26"/>
    </row>
    <row r="307" spans="1:5" ht="20" customHeight="1">
      <c r="A307" s="23" t="s">
        <v>253</v>
      </c>
      <c r="B307" s="24">
        <v>155006</v>
      </c>
      <c r="C307" s="25"/>
      <c r="E307" s="27" t="s">
        <v>346</v>
      </c>
    </row>
    <row r="308" spans="1:5" ht="20" customHeight="1">
      <c r="D308" s="26"/>
    </row>
    <row r="309" spans="1:5" ht="20" customHeight="1">
      <c r="A309" s="23" t="s">
        <v>254</v>
      </c>
      <c r="B309" s="24">
        <v>0</v>
      </c>
      <c r="C309" s="25"/>
      <c r="D309" s="26"/>
    </row>
    <row r="310" spans="1:5" ht="20" customHeight="1">
      <c r="A310" s="21" t="s">
        <v>255</v>
      </c>
      <c r="B310" s="32">
        <v>344542</v>
      </c>
      <c r="C310" s="25"/>
      <c r="D310" s="26"/>
    </row>
    <row r="311" spans="1:5" ht="20" customHeight="1">
      <c r="C311" s="25"/>
      <c r="D311" s="26"/>
    </row>
    <row r="312" spans="1:5" ht="20" customHeight="1">
      <c r="A312" s="21" t="s">
        <v>256</v>
      </c>
      <c r="C312" s="25"/>
      <c r="D312" s="26"/>
    </row>
    <row r="313" spans="1:5" ht="20" customHeight="1">
      <c r="A313" s="23" t="s">
        <v>257</v>
      </c>
      <c r="B313" s="24">
        <v>24661</v>
      </c>
      <c r="C313" s="25"/>
      <c r="D313" s="26"/>
      <c r="E313" s="27" t="s">
        <v>345</v>
      </c>
    </row>
    <row r="314" spans="1:5" ht="20" customHeight="1">
      <c r="A314" s="23" t="s">
        <v>258</v>
      </c>
      <c r="B314" s="24">
        <v>11041</v>
      </c>
      <c r="C314" s="25"/>
      <c r="D314" s="26"/>
      <c r="E314" s="27" t="s">
        <v>345</v>
      </c>
    </row>
    <row r="315" spans="1:5" ht="20" customHeight="1">
      <c r="A315" s="23" t="s">
        <v>259</v>
      </c>
      <c r="B315" s="24">
        <v>30628</v>
      </c>
      <c r="C315" s="25"/>
      <c r="D315" s="26"/>
      <c r="E315" s="27" t="s">
        <v>345</v>
      </c>
    </row>
    <row r="316" spans="1:5" ht="20" customHeight="1">
      <c r="A316" s="23" t="s">
        <v>260</v>
      </c>
      <c r="B316" s="24">
        <v>18985</v>
      </c>
      <c r="C316" s="25"/>
      <c r="D316" s="30"/>
      <c r="E316" s="27" t="s">
        <v>345</v>
      </c>
    </row>
    <row r="317" spans="1:5" ht="20" customHeight="1">
      <c r="A317" s="23" t="s">
        <v>261</v>
      </c>
      <c r="B317" s="24">
        <v>5936</v>
      </c>
      <c r="C317" s="29"/>
      <c r="E317" s="27" t="s">
        <v>345</v>
      </c>
    </row>
    <row r="318" spans="1:5" ht="20" customHeight="1">
      <c r="A318" s="23" t="s">
        <v>262</v>
      </c>
      <c r="B318" s="24">
        <v>7448</v>
      </c>
      <c r="E318" s="27" t="s">
        <v>345</v>
      </c>
    </row>
    <row r="319" spans="1:5" ht="20" customHeight="1">
      <c r="A319" s="23" t="s">
        <v>263</v>
      </c>
      <c r="B319" s="24">
        <v>259</v>
      </c>
      <c r="D319" s="26"/>
      <c r="E319" s="27" t="s">
        <v>345</v>
      </c>
    </row>
    <row r="320" spans="1:5" ht="20" customHeight="1">
      <c r="A320" s="23" t="s">
        <v>264</v>
      </c>
      <c r="B320" s="24">
        <v>-10521</v>
      </c>
      <c r="C320" s="25"/>
      <c r="D320" s="26"/>
      <c r="E320" s="27" t="s">
        <v>345</v>
      </c>
    </row>
    <row r="321" spans="1:5" ht="20" customHeight="1">
      <c r="A321" s="23" t="s">
        <v>265</v>
      </c>
      <c r="B321" s="24">
        <v>0</v>
      </c>
      <c r="C321" s="25"/>
      <c r="D321" s="26"/>
      <c r="E321" s="27"/>
    </row>
    <row r="322" spans="1:5" ht="20" customHeight="1">
      <c r="A322" s="23" t="s">
        <v>266</v>
      </c>
      <c r="B322" s="24">
        <v>0</v>
      </c>
      <c r="C322" s="25"/>
      <c r="D322" s="26"/>
      <c r="E322" s="27"/>
    </row>
    <row r="323" spans="1:5" ht="20" customHeight="1">
      <c r="A323" s="23" t="s">
        <v>267</v>
      </c>
      <c r="B323" s="24">
        <v>0</v>
      </c>
      <c r="C323" s="25"/>
      <c r="D323" s="30"/>
      <c r="E323" s="27"/>
    </row>
    <row r="324" spans="1:5" ht="20" customHeight="1">
      <c r="A324" s="21" t="s">
        <v>268</v>
      </c>
      <c r="B324" s="32">
        <v>88436</v>
      </c>
      <c r="C324" s="29"/>
      <c r="E324" s="27"/>
    </row>
    <row r="325" spans="1:5" ht="20" customHeight="1">
      <c r="E325" s="27"/>
    </row>
    <row r="326" spans="1:5" ht="20" customHeight="1">
      <c r="A326" s="21" t="s">
        <v>269</v>
      </c>
      <c r="D326" s="26"/>
      <c r="E326" s="27"/>
    </row>
    <row r="327" spans="1:5" ht="20" customHeight="1">
      <c r="A327" s="23" t="s">
        <v>270</v>
      </c>
      <c r="B327" s="24">
        <v>59509</v>
      </c>
      <c r="C327" s="25"/>
      <c r="D327" s="26"/>
      <c r="E327" s="27" t="s">
        <v>345</v>
      </c>
    </row>
    <row r="328" spans="1:5" ht="20" customHeight="1">
      <c r="A328" s="23" t="s">
        <v>271</v>
      </c>
      <c r="B328" s="24">
        <v>154625</v>
      </c>
      <c r="C328" s="25"/>
      <c r="D328" s="26"/>
      <c r="E328" s="27" t="s">
        <v>345</v>
      </c>
    </row>
    <row r="329" spans="1:5" ht="20" customHeight="1">
      <c r="A329" s="23" t="s">
        <v>272</v>
      </c>
      <c r="B329" s="24">
        <v>-14016</v>
      </c>
      <c r="C329" s="25"/>
      <c r="D329" s="26"/>
      <c r="E329" s="27" t="s">
        <v>345</v>
      </c>
    </row>
    <row r="330" spans="1:5" ht="20" customHeight="1">
      <c r="A330" s="23" t="s">
        <v>273</v>
      </c>
      <c r="B330" s="24">
        <v>0</v>
      </c>
      <c r="C330" s="25"/>
      <c r="D330" s="26"/>
      <c r="E330" s="27"/>
    </row>
    <row r="331" spans="1:5" ht="20" customHeight="1">
      <c r="A331" s="21" t="s">
        <v>274</v>
      </c>
      <c r="B331" s="32">
        <v>200119</v>
      </c>
      <c r="C331" s="25"/>
      <c r="D331" s="26"/>
    </row>
    <row r="332" spans="1:5" ht="20" customHeight="1">
      <c r="C332" s="25"/>
      <c r="D332" s="26"/>
    </row>
    <row r="333" spans="1:5" ht="20" customHeight="1">
      <c r="A333" s="21" t="s">
        <v>275</v>
      </c>
      <c r="C333" s="25"/>
      <c r="D333" s="26"/>
    </row>
    <row r="334" spans="1:5" ht="20" customHeight="1">
      <c r="A334" s="23" t="s">
        <v>276</v>
      </c>
      <c r="B334" s="24">
        <v>5252</v>
      </c>
      <c r="C334" s="25"/>
      <c r="D334" s="26"/>
      <c r="E334" s="27" t="s">
        <v>337</v>
      </c>
    </row>
    <row r="335" spans="1:5" ht="20" customHeight="1">
      <c r="A335" s="23" t="s">
        <v>277</v>
      </c>
      <c r="B335" s="24">
        <v>4315</v>
      </c>
      <c r="C335" s="25"/>
      <c r="E335" s="27" t="s">
        <v>337</v>
      </c>
    </row>
    <row r="336" spans="1:5" ht="20" customHeight="1">
      <c r="D336" s="26"/>
      <c r="E336" s="27"/>
    </row>
    <row r="337" spans="1:5" ht="20" customHeight="1">
      <c r="A337" s="23" t="s">
        <v>278</v>
      </c>
      <c r="B337" s="24">
        <v>0</v>
      </c>
      <c r="C337" s="25"/>
      <c r="D337" s="26"/>
      <c r="E337" s="27"/>
    </row>
    <row r="338" spans="1:5" ht="20" customHeight="1">
      <c r="A338" s="23" t="s">
        <v>279</v>
      </c>
      <c r="B338" s="24">
        <v>2793</v>
      </c>
      <c r="C338" s="25"/>
      <c r="D338" s="26"/>
      <c r="E338" s="27" t="s">
        <v>337</v>
      </c>
    </row>
    <row r="339" spans="1:5" ht="20" customHeight="1">
      <c r="A339" s="23" t="s">
        <v>280</v>
      </c>
      <c r="B339" s="24">
        <v>809</v>
      </c>
      <c r="C339" s="25"/>
      <c r="D339" s="26"/>
      <c r="E339" s="27" t="s">
        <v>337</v>
      </c>
    </row>
    <row r="340" spans="1:5" ht="20" customHeight="1">
      <c r="A340" s="23" t="s">
        <v>281</v>
      </c>
      <c r="B340" s="24">
        <v>0</v>
      </c>
      <c r="C340" s="25"/>
      <c r="D340" s="26"/>
      <c r="E340" s="27"/>
    </row>
    <row r="341" spans="1:5" ht="20" customHeight="1">
      <c r="A341" s="23" t="s">
        <v>282</v>
      </c>
      <c r="B341" s="24">
        <v>15231</v>
      </c>
      <c r="C341" s="25"/>
      <c r="D341" s="26"/>
      <c r="E341" s="27" t="s">
        <v>337</v>
      </c>
    </row>
    <row r="342" spans="1:5" ht="20" customHeight="1">
      <c r="A342" s="23" t="s">
        <v>283</v>
      </c>
      <c r="B342" s="24">
        <v>3097</v>
      </c>
      <c r="C342" s="25"/>
      <c r="D342" s="26"/>
      <c r="E342" s="27" t="s">
        <v>337</v>
      </c>
    </row>
    <row r="343" spans="1:5" ht="20" customHeight="1">
      <c r="A343" s="23" t="s">
        <v>284</v>
      </c>
      <c r="B343" s="24">
        <v>0</v>
      </c>
      <c r="C343" s="25"/>
      <c r="D343" s="26"/>
      <c r="E343" s="27"/>
    </row>
    <row r="344" spans="1:5" ht="20" customHeight="1">
      <c r="A344" s="23" t="s">
        <v>285</v>
      </c>
      <c r="B344" s="24">
        <v>-6243</v>
      </c>
      <c r="C344" s="25"/>
      <c r="D344" s="26"/>
      <c r="E344" s="27" t="s">
        <v>337</v>
      </c>
    </row>
    <row r="345" spans="1:5" ht="20" customHeight="1">
      <c r="A345" s="23" t="s">
        <v>286</v>
      </c>
      <c r="B345" s="24">
        <v>0</v>
      </c>
      <c r="C345" s="25"/>
      <c r="D345" s="26"/>
      <c r="E345" s="27"/>
    </row>
    <row r="346" spans="1:5" ht="20" customHeight="1">
      <c r="A346" s="23" t="s">
        <v>287</v>
      </c>
      <c r="B346" s="24">
        <v>81332</v>
      </c>
      <c r="C346" s="25"/>
      <c r="D346" s="26"/>
      <c r="E346" s="27" t="s">
        <v>337</v>
      </c>
    </row>
    <row r="347" spans="1:5" ht="20" customHeight="1">
      <c r="A347" s="23" t="s">
        <v>288</v>
      </c>
      <c r="B347" s="24">
        <v>0</v>
      </c>
      <c r="C347" s="25"/>
      <c r="D347" s="30"/>
      <c r="E347" s="27"/>
    </row>
    <row r="348" spans="1:5" ht="20" customHeight="1">
      <c r="A348" s="23" t="s">
        <v>289</v>
      </c>
      <c r="B348" s="24">
        <v>138</v>
      </c>
      <c r="C348" s="29"/>
      <c r="E348" s="27" t="s">
        <v>337</v>
      </c>
    </row>
    <row r="349" spans="1:5" ht="20" customHeight="1">
      <c r="A349" s="23" t="s">
        <v>290</v>
      </c>
      <c r="B349" s="24">
        <v>0</v>
      </c>
      <c r="E349" s="27"/>
    </row>
    <row r="350" spans="1:5" ht="20" customHeight="1">
      <c r="A350" s="23" t="s">
        <v>291</v>
      </c>
      <c r="B350" s="24">
        <v>5213</v>
      </c>
      <c r="D350" s="26"/>
      <c r="E350" s="27" t="s">
        <v>337</v>
      </c>
    </row>
    <row r="351" spans="1:5" ht="20" customHeight="1">
      <c r="A351" s="23" t="s">
        <v>292</v>
      </c>
      <c r="B351" s="24">
        <v>-79386</v>
      </c>
      <c r="C351" s="25"/>
      <c r="D351" s="26"/>
      <c r="E351" s="27" t="s">
        <v>337</v>
      </c>
    </row>
    <row r="352" spans="1:5" ht="20" customHeight="1">
      <c r="A352" s="23" t="s">
        <v>293</v>
      </c>
      <c r="B352" s="24">
        <v>295</v>
      </c>
      <c r="C352" s="25"/>
      <c r="D352" s="26"/>
      <c r="E352" s="27" t="s">
        <v>337</v>
      </c>
    </row>
    <row r="353" spans="1:7" ht="20" customHeight="1">
      <c r="A353" s="23" t="s">
        <v>294</v>
      </c>
      <c r="B353" s="24">
        <v>2566</v>
      </c>
      <c r="C353" s="25"/>
      <c r="D353" s="26"/>
      <c r="E353" s="27" t="s">
        <v>337</v>
      </c>
    </row>
    <row r="354" spans="1:7" ht="20" customHeight="1">
      <c r="A354" s="23" t="s">
        <v>295</v>
      </c>
      <c r="B354" s="24">
        <v>-16983</v>
      </c>
      <c r="C354" s="25"/>
      <c r="D354" s="26"/>
      <c r="E354" s="27" t="s">
        <v>337</v>
      </c>
    </row>
    <row r="355" spans="1:7" ht="20" customHeight="1">
      <c r="A355" s="21" t="s">
        <v>296</v>
      </c>
      <c r="B355" s="32">
        <v>18430</v>
      </c>
      <c r="C355" s="25"/>
      <c r="D355" s="26"/>
    </row>
    <row r="356" spans="1:7" ht="20" customHeight="1">
      <c r="C356" s="25"/>
      <c r="D356" s="26"/>
    </row>
    <row r="357" spans="1:7" ht="20" customHeight="1">
      <c r="A357" s="21" t="s">
        <v>297</v>
      </c>
      <c r="C357" s="25"/>
      <c r="D357" s="26"/>
    </row>
    <row r="358" spans="1:7" ht="20" customHeight="1">
      <c r="A358" s="23" t="s">
        <v>298</v>
      </c>
      <c r="B358" s="24">
        <v>10108</v>
      </c>
      <c r="C358" s="25"/>
      <c r="D358" s="30"/>
      <c r="E358" s="27" t="s">
        <v>345</v>
      </c>
    </row>
    <row r="359" spans="1:7" ht="20" customHeight="1">
      <c r="A359" s="23" t="s">
        <v>299</v>
      </c>
      <c r="B359" s="24">
        <v>25917</v>
      </c>
      <c r="C359" s="29"/>
      <c r="E359" s="27" t="s">
        <v>345</v>
      </c>
    </row>
    <row r="360" spans="1:7" ht="20" customHeight="1">
      <c r="A360" s="23" t="s">
        <v>300</v>
      </c>
      <c r="B360" s="24">
        <v>1266</v>
      </c>
      <c r="E360" s="27" t="s">
        <v>345</v>
      </c>
    </row>
    <row r="361" spans="1:7" ht="20" customHeight="1">
      <c r="A361" s="23" t="s">
        <v>301</v>
      </c>
      <c r="B361" s="24">
        <v>0</v>
      </c>
      <c r="D361" s="26"/>
      <c r="E361" s="27"/>
    </row>
    <row r="362" spans="1:7" ht="20" customHeight="1">
      <c r="A362" s="23" t="s">
        <v>302</v>
      </c>
      <c r="B362" s="24">
        <v>358</v>
      </c>
      <c r="C362" s="25"/>
      <c r="D362" s="26"/>
      <c r="E362" s="27" t="s">
        <v>345</v>
      </c>
    </row>
    <row r="363" spans="1:7" ht="20" customHeight="1">
      <c r="A363" s="23" t="s">
        <v>303</v>
      </c>
      <c r="B363" s="24">
        <v>9103</v>
      </c>
      <c r="C363" s="25"/>
      <c r="E363" s="27" t="s">
        <v>345</v>
      </c>
      <c r="G363" s="31"/>
    </row>
    <row r="364" spans="1:7" ht="20" customHeight="1">
      <c r="D364" s="26"/>
      <c r="E364" s="27"/>
    </row>
    <row r="365" spans="1:7" ht="20" customHeight="1">
      <c r="A365" s="23" t="s">
        <v>304</v>
      </c>
      <c r="B365" s="24">
        <v>0</v>
      </c>
      <c r="C365" s="25"/>
      <c r="D365" s="26"/>
      <c r="E365" s="27"/>
    </row>
    <row r="366" spans="1:7" ht="20" customHeight="1">
      <c r="A366" s="23" t="s">
        <v>305</v>
      </c>
      <c r="B366" s="24">
        <v>3690</v>
      </c>
      <c r="C366" s="25"/>
      <c r="D366" s="26"/>
      <c r="E366" s="27" t="s">
        <v>345</v>
      </c>
    </row>
    <row r="367" spans="1:7" ht="20" customHeight="1">
      <c r="A367" s="21" t="s">
        <v>306</v>
      </c>
      <c r="B367" s="32">
        <v>50442</v>
      </c>
      <c r="C367" s="25"/>
      <c r="D367" s="30"/>
    </row>
    <row r="368" spans="1:7" ht="20" customHeight="1">
      <c r="C368" s="29"/>
    </row>
    <row r="369" spans="1:5" ht="20" customHeight="1">
      <c r="A369" s="21" t="s">
        <v>307</v>
      </c>
    </row>
    <row r="370" spans="1:5" ht="20" customHeight="1">
      <c r="A370" s="23" t="s">
        <v>308</v>
      </c>
      <c r="B370" s="24">
        <v>327001</v>
      </c>
      <c r="D370" s="26"/>
      <c r="E370" s="27" t="s">
        <v>338</v>
      </c>
    </row>
    <row r="371" spans="1:5" ht="20" customHeight="1">
      <c r="A371" s="23" t="s">
        <v>309</v>
      </c>
      <c r="B371" s="24">
        <v>83941</v>
      </c>
      <c r="C371" s="25"/>
      <c r="D371" s="26"/>
      <c r="E371" s="27" t="s">
        <v>338</v>
      </c>
    </row>
    <row r="372" spans="1:5" ht="20" customHeight="1">
      <c r="A372" s="23" t="s">
        <v>310</v>
      </c>
      <c r="B372" s="24">
        <v>0</v>
      </c>
      <c r="C372" s="25"/>
      <c r="D372" s="30"/>
      <c r="E372" s="27"/>
    </row>
    <row r="373" spans="1:5" ht="20" customHeight="1">
      <c r="A373" s="23" t="s">
        <v>311</v>
      </c>
      <c r="B373" s="24">
        <v>0</v>
      </c>
      <c r="C373" s="29"/>
      <c r="E373" s="27"/>
    </row>
    <row r="374" spans="1:5" ht="20" customHeight="1">
      <c r="A374" s="23" t="s">
        <v>312</v>
      </c>
      <c r="B374" s="24">
        <v>37327</v>
      </c>
      <c r="E374" s="27" t="s">
        <v>338</v>
      </c>
    </row>
    <row r="375" spans="1:5" ht="20" customHeight="1">
      <c r="A375" s="21" t="s">
        <v>313</v>
      </c>
      <c r="B375" s="32">
        <v>448269</v>
      </c>
      <c r="D375" s="26"/>
      <c r="E375" s="27"/>
    </row>
    <row r="376" spans="1:5" ht="20" customHeight="1">
      <c r="A376" s="21"/>
      <c r="B376" s="32"/>
      <c r="D376" s="26"/>
      <c r="E376" s="27"/>
    </row>
    <row r="377" spans="1:5" ht="20" customHeight="1">
      <c r="C377" s="25"/>
      <c r="D377" s="26"/>
    </row>
    <row r="378" spans="1:5" ht="20" customHeight="1">
      <c r="A378" s="21" t="s">
        <v>314</v>
      </c>
      <c r="C378" s="25"/>
      <c r="D378" s="26"/>
    </row>
    <row r="379" spans="1:5" ht="20" customHeight="1">
      <c r="A379" s="23" t="s">
        <v>315</v>
      </c>
      <c r="B379" s="24">
        <v>0</v>
      </c>
      <c r="C379" s="25"/>
      <c r="D379" s="39"/>
    </row>
    <row r="380" spans="1:5" ht="20" customHeight="1">
      <c r="A380" s="23" t="s">
        <v>316</v>
      </c>
      <c r="B380" s="24">
        <v>10505</v>
      </c>
      <c r="C380" s="25"/>
      <c r="E380" s="27" t="s">
        <v>342</v>
      </c>
    </row>
    <row r="381" spans="1:5" ht="20" customHeight="1">
      <c r="A381" s="21" t="s">
        <v>317</v>
      </c>
      <c r="B381" s="32">
        <v>10505</v>
      </c>
      <c r="C381" s="38"/>
      <c r="D381" s="35"/>
    </row>
    <row r="383" spans="1:5" ht="20" customHeight="1">
      <c r="A383" s="23" t="s">
        <v>318</v>
      </c>
      <c r="C383" s="34"/>
      <c r="D383" s="35"/>
    </row>
    <row r="384" spans="1:5" ht="20" customHeight="1">
      <c r="A384" s="23" t="s">
        <v>319</v>
      </c>
      <c r="B384" s="24">
        <v>2827</v>
      </c>
      <c r="E384" s="27" t="s">
        <v>345</v>
      </c>
    </row>
    <row r="385" spans="1:7" ht="20" customHeight="1">
      <c r="A385" s="23" t="s">
        <v>320</v>
      </c>
      <c r="B385" s="24">
        <v>33020</v>
      </c>
      <c r="C385" s="34"/>
      <c r="D385" s="26"/>
      <c r="E385" s="27" t="s">
        <v>345</v>
      </c>
    </row>
    <row r="386" spans="1:7" ht="20" customHeight="1">
      <c r="A386" s="23" t="s">
        <v>321</v>
      </c>
      <c r="B386" s="24">
        <v>7338</v>
      </c>
      <c r="E386" s="27" t="s">
        <v>345</v>
      </c>
    </row>
    <row r="387" spans="1:7" ht="20" customHeight="1">
      <c r="A387" s="23" t="s">
        <v>322</v>
      </c>
      <c r="B387" s="24">
        <v>0</v>
      </c>
      <c r="C387" s="25"/>
      <c r="D387" s="35"/>
      <c r="E387" s="27" t="s">
        <v>345</v>
      </c>
      <c r="G387" s="33"/>
    </row>
    <row r="388" spans="1:7" ht="20" customHeight="1">
      <c r="A388" s="23" t="s">
        <v>323</v>
      </c>
      <c r="B388" s="24">
        <v>43185</v>
      </c>
      <c r="E388" s="27"/>
      <c r="G388" s="33"/>
    </row>
    <row r="389" spans="1:7" ht="20" customHeight="1">
      <c r="C389" s="34"/>
      <c r="D389" s="26"/>
      <c r="G389" s="33"/>
    </row>
    <row r="390" spans="1:7" ht="20" customHeight="1">
      <c r="A390" s="20" t="s">
        <v>324</v>
      </c>
      <c r="B390" s="36">
        <v>6675800</v>
      </c>
      <c r="D390" s="26"/>
      <c r="F390" s="27"/>
    </row>
    <row r="391" spans="1:7" ht="20" customHeight="1">
      <c r="C391" s="25"/>
      <c r="D391" s="41"/>
      <c r="F391" s="27"/>
    </row>
    <row r="392" spans="1:7" ht="20" customHeight="1">
      <c r="A392" s="20" t="s">
        <v>325</v>
      </c>
      <c r="B392" s="36">
        <v>-612453</v>
      </c>
      <c r="C392" s="25"/>
      <c r="D392" s="26"/>
    </row>
    <row r="393" spans="1:7" ht="20" customHeight="1">
      <c r="C393" s="40"/>
      <c r="D393" s="26"/>
    </row>
    <row r="394" spans="1:7" ht="20" customHeight="1">
      <c r="A394" s="23" t="s">
        <v>326</v>
      </c>
      <c r="B394" s="24">
        <v>426417</v>
      </c>
      <c r="C394" s="25"/>
      <c r="D394" s="26"/>
      <c r="E394" s="27" t="s">
        <v>347</v>
      </c>
    </row>
    <row r="395" spans="1:7" ht="20" customHeight="1">
      <c r="C395" s="25"/>
      <c r="E395" s="27" t="s">
        <v>344</v>
      </c>
    </row>
    <row r="396" spans="1:7" ht="20" customHeight="1">
      <c r="A396" s="20" t="s">
        <v>327</v>
      </c>
      <c r="B396" s="36">
        <v>-1038870</v>
      </c>
    </row>
    <row r="397" spans="1:7" ht="20" customHeight="1">
      <c r="D397" s="35"/>
    </row>
    <row r="398" spans="1:7" ht="20" customHeight="1">
      <c r="A398" s="23" t="s">
        <v>328</v>
      </c>
      <c r="B398" s="24">
        <v>67805</v>
      </c>
      <c r="C398" s="34"/>
      <c r="E398" s="27" t="s">
        <v>346</v>
      </c>
    </row>
    <row r="399" spans="1:7" ht="20" customHeight="1">
      <c r="A399" s="23" t="s">
        <v>329</v>
      </c>
      <c r="B399" s="24">
        <v>0</v>
      </c>
    </row>
    <row r="401" spans="1:5" ht="20" customHeight="1">
      <c r="A401" s="20" t="s">
        <v>330</v>
      </c>
      <c r="B401" s="42">
        <v>-1106675</v>
      </c>
    </row>
    <row r="403" spans="1:5" ht="20" customHeight="1">
      <c r="E403" s="27"/>
    </row>
  </sheetData>
  <sortState xmlns:xlrd2="http://schemas.microsoft.com/office/spreadsheetml/2017/richdata2" ref="G11:H20">
    <sortCondition ref="G11:G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492-EA89-6441-B0F5-E770CA233BB2}">
  <dimension ref="A1:T312"/>
  <sheetViews>
    <sheetView topLeftCell="A9" zoomScale="179" zoomScaleNormal="179" workbookViewId="0">
      <selection activeCell="A23" sqref="A23"/>
    </sheetView>
  </sheetViews>
  <sheetFormatPr baseColWidth="10" defaultColWidth="9" defaultRowHeight="19" customHeight="1"/>
  <cols>
    <col min="1" max="1" width="51.19921875" customWidth="1"/>
    <col min="2" max="3" width="0.19921875" hidden="1" customWidth="1"/>
    <col min="4" max="4" width="9" hidden="1" customWidth="1"/>
    <col min="5" max="12" width="0.19921875" hidden="1" customWidth="1"/>
    <col min="13" max="13" width="17" style="10" customWidth="1"/>
    <col min="14" max="14" width="17" style="12" customWidth="1"/>
    <col min="15" max="15" width="17" style="58" customWidth="1"/>
    <col min="16" max="16" width="14" style="47" customWidth="1"/>
    <col min="17" max="17" width="14" style="9" customWidth="1"/>
    <col min="20" max="20" width="14.3984375" bestFit="1" customWidth="1"/>
  </cols>
  <sheetData>
    <row r="1" spans="1:20" s="8" customFormat="1" ht="38" customHeight="1">
      <c r="M1" s="61">
        <v>45473</v>
      </c>
      <c r="N1" s="64">
        <v>2023</v>
      </c>
      <c r="O1" s="62" t="s">
        <v>331</v>
      </c>
      <c r="P1" s="65" t="s">
        <v>672</v>
      </c>
      <c r="Q1" s="65"/>
    </row>
    <row r="2" spans="1:20" ht="19" customHeight="1">
      <c r="A2" s="44" t="s">
        <v>351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2"/>
      <c r="N2" s="45"/>
    </row>
    <row r="3" spans="1:20" ht="19" customHeight="1">
      <c r="A3" s="3" t="s">
        <v>352</v>
      </c>
      <c r="P3" s="46" t="s">
        <v>641</v>
      </c>
      <c r="Q3" s="9">
        <f>SUMIF(O:O,P3,M:M)</f>
        <v>2208769</v>
      </c>
    </row>
    <row r="4" spans="1:20" ht="19" customHeight="1">
      <c r="A4" s="3" t="s">
        <v>353</v>
      </c>
      <c r="B4" s="4">
        <v>643664</v>
      </c>
      <c r="C4" s="4">
        <v>152372</v>
      </c>
      <c r="D4" s="4">
        <v>61587</v>
      </c>
      <c r="E4" s="4">
        <v>117970</v>
      </c>
      <c r="F4" s="4">
        <v>133807</v>
      </c>
      <c r="G4" s="4">
        <v>39216</v>
      </c>
      <c r="H4" s="4">
        <v>228370</v>
      </c>
      <c r="I4" s="4">
        <v>153626</v>
      </c>
      <c r="J4" s="4">
        <v>295704</v>
      </c>
      <c r="K4" s="4">
        <v>220652</v>
      </c>
      <c r="L4" s="4">
        <v>112338</v>
      </c>
      <c r="M4" s="48">
        <v>266728</v>
      </c>
      <c r="N4" s="49">
        <v>1578754</v>
      </c>
      <c r="O4" s="59" t="s">
        <v>641</v>
      </c>
      <c r="P4" s="46" t="s">
        <v>642</v>
      </c>
      <c r="Q4" s="9">
        <f t="shared" ref="Q4:Q7" si="0">SUMIF(O:O,P4,M:M)</f>
        <v>2659341</v>
      </c>
      <c r="T4">
        <f>IF(M4&lt;0,M4,)</f>
        <v>0</v>
      </c>
    </row>
    <row r="5" spans="1:20" ht="19" customHeight="1">
      <c r="A5" s="3" t="s">
        <v>354</v>
      </c>
      <c r="B5" s="4">
        <v>21682</v>
      </c>
      <c r="C5" s="4">
        <v>84322</v>
      </c>
      <c r="D5" s="4">
        <v>10225</v>
      </c>
      <c r="E5" s="4">
        <v>14517</v>
      </c>
      <c r="F5" s="4">
        <v>120679</v>
      </c>
      <c r="G5" s="4">
        <v>13360</v>
      </c>
      <c r="H5" s="4">
        <v>18135</v>
      </c>
      <c r="I5" s="4">
        <v>41509</v>
      </c>
      <c r="J5" s="4">
        <v>16049</v>
      </c>
      <c r="K5" s="4">
        <v>3581</v>
      </c>
      <c r="L5" s="4">
        <v>34357</v>
      </c>
      <c r="M5" s="48">
        <v>-246</v>
      </c>
      <c r="N5" s="49">
        <v>35922</v>
      </c>
      <c r="O5" s="59" t="s">
        <v>641</v>
      </c>
      <c r="P5" s="46" t="s">
        <v>643</v>
      </c>
      <c r="Q5" s="9">
        <f t="shared" si="0"/>
        <v>6995061</v>
      </c>
      <c r="T5">
        <f t="shared" ref="T5:T68" si="1">IF(M5&lt;0,M5,)</f>
        <v>-246</v>
      </c>
    </row>
    <row r="6" spans="1:20" ht="19" customHeight="1">
      <c r="A6" s="3" t="s">
        <v>355</v>
      </c>
      <c r="B6" s="4">
        <v>46</v>
      </c>
      <c r="C6" s="4">
        <v>46</v>
      </c>
      <c r="D6" s="4">
        <v>46</v>
      </c>
      <c r="E6" s="4">
        <v>46</v>
      </c>
      <c r="F6" s="4">
        <v>46</v>
      </c>
      <c r="G6" s="4">
        <v>46</v>
      </c>
      <c r="H6" s="4">
        <v>46</v>
      </c>
      <c r="I6" s="4">
        <v>46</v>
      </c>
      <c r="J6" s="4">
        <v>46</v>
      </c>
      <c r="K6" s="4">
        <v>46</v>
      </c>
      <c r="L6" s="4">
        <v>46</v>
      </c>
      <c r="M6" s="48">
        <v>46</v>
      </c>
      <c r="N6" s="49">
        <v>46</v>
      </c>
      <c r="O6" s="59" t="s">
        <v>641</v>
      </c>
      <c r="P6" s="46" t="s">
        <v>332</v>
      </c>
      <c r="Q6" s="9">
        <f t="shared" si="0"/>
        <v>663920</v>
      </c>
      <c r="T6">
        <f t="shared" si="1"/>
        <v>0</v>
      </c>
    </row>
    <row r="7" spans="1:20" ht="19" customHeight="1">
      <c r="A7" s="3" t="s">
        <v>356</v>
      </c>
      <c r="B7" s="4">
        <v>37117</v>
      </c>
      <c r="C7" s="4">
        <v>261282</v>
      </c>
      <c r="D7" s="4">
        <v>54600</v>
      </c>
      <c r="E7" s="4">
        <v>35116</v>
      </c>
      <c r="F7" s="4">
        <v>28079</v>
      </c>
      <c r="G7" s="4">
        <v>46524</v>
      </c>
      <c r="H7" s="4">
        <v>48012</v>
      </c>
      <c r="I7" s="4">
        <v>29079</v>
      </c>
      <c r="J7" s="4">
        <v>35946</v>
      </c>
      <c r="K7" s="4">
        <v>42783</v>
      </c>
      <c r="L7" s="4">
        <v>20417</v>
      </c>
      <c r="M7" s="48">
        <v>39063</v>
      </c>
      <c r="N7" s="49">
        <v>29513</v>
      </c>
      <c r="O7" s="59" t="s">
        <v>641</v>
      </c>
      <c r="P7" s="46" t="s">
        <v>644</v>
      </c>
      <c r="Q7" s="9">
        <f t="shared" si="0"/>
        <v>3001720</v>
      </c>
      <c r="T7">
        <f t="shared" si="1"/>
        <v>0</v>
      </c>
    </row>
    <row r="8" spans="1:20" ht="19" customHeight="1">
      <c r="A8" s="3" t="s">
        <v>357</v>
      </c>
      <c r="O8" s="59" t="s">
        <v>641</v>
      </c>
      <c r="P8" s="50"/>
      <c r="Q8" s="63"/>
      <c r="T8">
        <f t="shared" si="1"/>
        <v>0</v>
      </c>
    </row>
    <row r="9" spans="1:20" ht="19" customHeight="1">
      <c r="A9" s="3" t="s">
        <v>358</v>
      </c>
      <c r="O9" s="59" t="s">
        <v>641</v>
      </c>
      <c r="P9" s="46"/>
      <c r="T9">
        <f t="shared" si="1"/>
        <v>0</v>
      </c>
    </row>
    <row r="10" spans="1:20" ht="19" customHeight="1">
      <c r="A10" s="3" t="s">
        <v>359</v>
      </c>
      <c r="B10" s="4">
        <v>3597</v>
      </c>
      <c r="C10" s="4">
        <v>2840</v>
      </c>
      <c r="D10" s="4">
        <v>2840</v>
      </c>
      <c r="E10" s="4">
        <v>3320</v>
      </c>
      <c r="F10" s="4">
        <v>3481</v>
      </c>
      <c r="G10" s="4">
        <v>3653</v>
      </c>
      <c r="H10" s="4">
        <v>3320</v>
      </c>
      <c r="I10" s="4">
        <v>3320</v>
      </c>
      <c r="J10" s="4">
        <v>3320</v>
      </c>
      <c r="K10" s="4">
        <v>3320</v>
      </c>
      <c r="L10" s="4">
        <v>3320</v>
      </c>
      <c r="M10" s="48">
        <v>3320</v>
      </c>
      <c r="N10" s="49">
        <v>3093</v>
      </c>
      <c r="O10" s="59" t="s">
        <v>641</v>
      </c>
      <c r="T10">
        <f t="shared" si="1"/>
        <v>0</v>
      </c>
    </row>
    <row r="11" spans="1:20" ht="19" customHeight="1">
      <c r="A11" s="3" t="s">
        <v>360</v>
      </c>
      <c r="O11" s="59" t="s">
        <v>641</v>
      </c>
      <c r="T11">
        <f t="shared" si="1"/>
        <v>0</v>
      </c>
    </row>
    <row r="12" spans="1:20" ht="19" customHeight="1">
      <c r="A12" s="3" t="s">
        <v>361</v>
      </c>
      <c r="B12" s="4">
        <v>13373</v>
      </c>
      <c r="C12" s="4">
        <v>20103</v>
      </c>
      <c r="D12" s="4">
        <v>-2897</v>
      </c>
      <c r="E12" s="4">
        <v>13777</v>
      </c>
      <c r="F12" s="4">
        <v>37143</v>
      </c>
      <c r="G12" s="4">
        <v>8968</v>
      </c>
      <c r="H12" s="4">
        <v>7677</v>
      </c>
      <c r="I12" s="4">
        <v>15704</v>
      </c>
      <c r="J12" s="4">
        <v>10966</v>
      </c>
      <c r="K12" s="4">
        <v>17781</v>
      </c>
      <c r="L12" s="4">
        <v>68166</v>
      </c>
      <c r="M12" s="48">
        <v>38995</v>
      </c>
      <c r="N12" s="49">
        <v>8879</v>
      </c>
      <c r="O12" s="59" t="s">
        <v>641</v>
      </c>
      <c r="T12">
        <f t="shared" si="1"/>
        <v>0</v>
      </c>
    </row>
    <row r="13" spans="1:20" ht="19" customHeight="1">
      <c r="A13" s="3" t="s">
        <v>362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8">
        <v>0</v>
      </c>
      <c r="N13" s="49">
        <v>0</v>
      </c>
      <c r="O13" s="59" t="s">
        <v>641</v>
      </c>
      <c r="T13">
        <f t="shared" si="1"/>
        <v>0</v>
      </c>
    </row>
    <row r="14" spans="1:20" ht="19" customHeight="1">
      <c r="A14" s="3" t="s">
        <v>363</v>
      </c>
      <c r="B14" s="4">
        <v>-38970</v>
      </c>
      <c r="C14" s="4">
        <v>-57318</v>
      </c>
      <c r="D14" s="4">
        <v>-49714</v>
      </c>
      <c r="E14" s="4">
        <v>-93895</v>
      </c>
      <c r="F14" s="4">
        <v>-186621</v>
      </c>
      <c r="G14" s="4">
        <v>-222401</v>
      </c>
      <c r="H14" s="4">
        <v>-477474</v>
      </c>
      <c r="I14" s="4">
        <v>-479724</v>
      </c>
      <c r="J14" s="4">
        <v>-539616</v>
      </c>
      <c r="K14" s="4">
        <v>-576002</v>
      </c>
      <c r="L14" s="4">
        <v>-588955</v>
      </c>
      <c r="M14" s="48">
        <v>-592175</v>
      </c>
      <c r="N14" s="49">
        <v>0</v>
      </c>
      <c r="O14" s="59" t="s">
        <v>641</v>
      </c>
      <c r="T14">
        <f t="shared" si="1"/>
        <v>-592175</v>
      </c>
    </row>
    <row r="15" spans="1:20" ht="19" customHeight="1">
      <c r="A15" s="3" t="s">
        <v>364</v>
      </c>
      <c r="B15" s="4">
        <v>12584</v>
      </c>
      <c r="C15" s="4">
        <v>-20880</v>
      </c>
      <c r="D15" s="4">
        <v>19504</v>
      </c>
      <c r="E15" s="4">
        <v>-26020</v>
      </c>
      <c r="F15" s="4">
        <v>-478</v>
      </c>
      <c r="G15" s="4">
        <v>8654</v>
      </c>
      <c r="H15" s="4">
        <v>9971</v>
      </c>
      <c r="I15" s="4">
        <v>21369</v>
      </c>
      <c r="J15" s="4">
        <v>27570</v>
      </c>
      <c r="K15" s="4">
        <v>34520</v>
      </c>
      <c r="L15" s="4">
        <v>52326</v>
      </c>
      <c r="M15" s="48">
        <v>21829</v>
      </c>
      <c r="N15" s="49">
        <v>0</v>
      </c>
      <c r="O15" s="59" t="s">
        <v>641</v>
      </c>
      <c r="T15">
        <f t="shared" si="1"/>
        <v>0</v>
      </c>
    </row>
    <row r="16" spans="1:20" ht="19" customHeight="1">
      <c r="A16" s="3" t="s">
        <v>365</v>
      </c>
      <c r="B16" s="4">
        <v>-208976</v>
      </c>
      <c r="C16" s="4">
        <v>-201895</v>
      </c>
      <c r="D16" s="4">
        <v>-193290</v>
      </c>
      <c r="E16" s="4">
        <v>-137219</v>
      </c>
      <c r="F16" s="4">
        <v>65637</v>
      </c>
      <c r="G16" s="4">
        <v>16904</v>
      </c>
      <c r="H16" s="4">
        <v>8295</v>
      </c>
      <c r="I16" s="4">
        <v>-196822</v>
      </c>
      <c r="J16" s="4">
        <v>4339</v>
      </c>
      <c r="K16" s="4">
        <v>283640</v>
      </c>
      <c r="L16" s="4">
        <v>355574</v>
      </c>
      <c r="M16" s="48">
        <v>441794</v>
      </c>
      <c r="N16" s="49">
        <v>0</v>
      </c>
      <c r="O16" s="59" t="s">
        <v>641</v>
      </c>
      <c r="T16">
        <f t="shared" si="1"/>
        <v>0</v>
      </c>
    </row>
    <row r="17" spans="1:20" ht="19" customHeight="1">
      <c r="A17" s="3" t="s">
        <v>366</v>
      </c>
      <c r="O17" s="59" t="s">
        <v>641</v>
      </c>
      <c r="T17">
        <f t="shared" si="1"/>
        <v>0</v>
      </c>
    </row>
    <row r="18" spans="1:20" ht="19" customHeight="1">
      <c r="A18" s="3" t="s">
        <v>367</v>
      </c>
      <c r="B18" s="4">
        <v>-28223</v>
      </c>
      <c r="C18" s="4">
        <v>-28223</v>
      </c>
      <c r="D18" s="4">
        <v>-28223</v>
      </c>
      <c r="E18" s="4">
        <v>-28223</v>
      </c>
      <c r="F18" s="4">
        <v>-28223</v>
      </c>
      <c r="G18" s="4">
        <v>-28223</v>
      </c>
      <c r="H18" s="4">
        <v>-28223</v>
      </c>
      <c r="I18" s="4">
        <v>-28223</v>
      </c>
      <c r="J18" s="4">
        <v>-28223</v>
      </c>
      <c r="K18" s="4">
        <v>-28223</v>
      </c>
      <c r="L18" s="4">
        <v>-28223</v>
      </c>
      <c r="M18" s="48">
        <v>-28196</v>
      </c>
      <c r="N18" s="49">
        <v>-28223</v>
      </c>
      <c r="O18" s="59" t="s">
        <v>641</v>
      </c>
      <c r="T18">
        <f t="shared" si="1"/>
        <v>-28196</v>
      </c>
    </row>
    <row r="19" spans="1:20" ht="19" customHeight="1">
      <c r="A19" s="3" t="s">
        <v>368</v>
      </c>
      <c r="O19" s="59" t="s">
        <v>641</v>
      </c>
      <c r="T19">
        <f t="shared" si="1"/>
        <v>0</v>
      </c>
    </row>
    <row r="20" spans="1:20" ht="19" customHeight="1">
      <c r="A20" s="3" t="s">
        <v>369</v>
      </c>
      <c r="B20" s="4">
        <v>4764</v>
      </c>
      <c r="C20" s="4">
        <v>4764</v>
      </c>
      <c r="D20" s="4">
        <v>4764</v>
      </c>
      <c r="E20" s="4">
        <v>4764</v>
      </c>
      <c r="F20" s="4">
        <v>4764</v>
      </c>
      <c r="G20" s="4">
        <v>4764</v>
      </c>
      <c r="H20" s="4">
        <v>4764</v>
      </c>
      <c r="I20" s="4">
        <v>4764</v>
      </c>
      <c r="J20" s="4">
        <v>4764</v>
      </c>
      <c r="K20" s="4">
        <v>4764</v>
      </c>
      <c r="L20" s="4">
        <v>4764</v>
      </c>
      <c r="M20" s="48">
        <v>4764</v>
      </c>
      <c r="N20" s="49">
        <v>4764</v>
      </c>
      <c r="O20" s="59" t="s">
        <v>641</v>
      </c>
      <c r="T20">
        <f t="shared" si="1"/>
        <v>0</v>
      </c>
    </row>
    <row r="21" spans="1:20" ht="19" customHeight="1">
      <c r="A21" s="3" t="s">
        <v>370</v>
      </c>
      <c r="B21" s="4">
        <v>-1304</v>
      </c>
      <c r="C21" s="4">
        <v>-1304</v>
      </c>
      <c r="D21" s="4">
        <v>-1304</v>
      </c>
      <c r="E21" s="4">
        <v>-1304</v>
      </c>
      <c r="F21" s="4">
        <v>-1304</v>
      </c>
      <c r="G21" s="4">
        <v>-1304</v>
      </c>
      <c r="H21" s="4">
        <v>-1304</v>
      </c>
      <c r="I21" s="4">
        <v>-1304</v>
      </c>
      <c r="J21" s="4">
        <v>-1304</v>
      </c>
      <c r="K21" s="4">
        <v>-1304</v>
      </c>
      <c r="L21" s="4">
        <v>-1304</v>
      </c>
      <c r="M21" s="48">
        <v>-1304</v>
      </c>
      <c r="N21" s="49">
        <v>-1304</v>
      </c>
      <c r="O21" s="59" t="s">
        <v>641</v>
      </c>
      <c r="T21">
        <f t="shared" si="1"/>
        <v>-1304</v>
      </c>
    </row>
    <row r="22" spans="1:20" ht="19" customHeight="1">
      <c r="A22" s="3" t="s">
        <v>371</v>
      </c>
      <c r="O22" s="59" t="s">
        <v>641</v>
      </c>
      <c r="T22">
        <f t="shared" si="1"/>
        <v>0</v>
      </c>
    </row>
    <row r="23" spans="1:20" ht="19" customHeight="1">
      <c r="A23" s="3" t="s">
        <v>372</v>
      </c>
      <c r="B23" s="4">
        <v>112</v>
      </c>
      <c r="C23" s="4">
        <v>112</v>
      </c>
      <c r="D23" s="4">
        <v>112</v>
      </c>
      <c r="E23" s="4">
        <v>112</v>
      </c>
      <c r="F23" s="4">
        <v>112</v>
      </c>
      <c r="G23" s="4">
        <v>112</v>
      </c>
      <c r="H23" s="4">
        <v>112</v>
      </c>
      <c r="I23" s="4">
        <v>112</v>
      </c>
      <c r="J23" s="4">
        <v>112</v>
      </c>
      <c r="K23" s="4">
        <v>112</v>
      </c>
      <c r="L23" s="4">
        <v>112</v>
      </c>
      <c r="M23" s="48">
        <v>112</v>
      </c>
      <c r="N23" s="49">
        <v>112</v>
      </c>
      <c r="O23" s="59" t="s">
        <v>641</v>
      </c>
      <c r="T23">
        <f t="shared" si="1"/>
        <v>0</v>
      </c>
    </row>
    <row r="24" spans="1:20" ht="19" customHeight="1">
      <c r="A24" s="3" t="s">
        <v>373</v>
      </c>
      <c r="B24" s="4">
        <v>2178</v>
      </c>
      <c r="C24" s="4">
        <v>2178</v>
      </c>
      <c r="D24" s="4">
        <v>2178</v>
      </c>
      <c r="E24" s="4">
        <v>2178</v>
      </c>
      <c r="F24" s="4">
        <v>2178</v>
      </c>
      <c r="G24" s="4">
        <v>2178</v>
      </c>
      <c r="H24" s="4">
        <v>2178</v>
      </c>
      <c r="I24" s="4">
        <v>2178</v>
      </c>
      <c r="J24" s="4">
        <v>2178</v>
      </c>
      <c r="K24" s="4">
        <v>2178</v>
      </c>
      <c r="L24" s="4">
        <v>2178</v>
      </c>
      <c r="M24" s="48">
        <v>2178</v>
      </c>
      <c r="N24" s="49">
        <v>2178</v>
      </c>
      <c r="O24" s="59" t="s">
        <v>641</v>
      </c>
      <c r="T24">
        <f t="shared" si="1"/>
        <v>0</v>
      </c>
    </row>
    <row r="25" spans="1:20" ht="19" customHeight="1">
      <c r="A25" s="3" t="s">
        <v>374</v>
      </c>
      <c r="B25" s="4">
        <v>1343</v>
      </c>
      <c r="C25" s="4">
        <v>1343</v>
      </c>
      <c r="D25" s="4">
        <v>1343</v>
      </c>
      <c r="E25" s="4">
        <v>1343</v>
      </c>
      <c r="F25" s="4">
        <v>1343</v>
      </c>
      <c r="G25" s="4">
        <v>1343</v>
      </c>
      <c r="H25" s="4">
        <v>1343</v>
      </c>
      <c r="I25" s="4">
        <v>1343</v>
      </c>
      <c r="J25" s="4">
        <v>1343</v>
      </c>
      <c r="K25" s="4">
        <v>1343</v>
      </c>
      <c r="L25" s="4">
        <v>1343</v>
      </c>
      <c r="M25" s="48">
        <v>1343</v>
      </c>
      <c r="N25" s="49">
        <v>1343</v>
      </c>
      <c r="O25" s="59" t="s">
        <v>641</v>
      </c>
      <c r="T25">
        <f t="shared" si="1"/>
        <v>0</v>
      </c>
    </row>
    <row r="26" spans="1:20" ht="19" customHeight="1">
      <c r="A26" s="3" t="s">
        <v>375</v>
      </c>
      <c r="B26" s="4">
        <v>26</v>
      </c>
      <c r="C26" s="4">
        <v>26</v>
      </c>
      <c r="D26" s="4">
        <v>26</v>
      </c>
      <c r="E26" s="4">
        <v>26</v>
      </c>
      <c r="F26" s="4">
        <v>26</v>
      </c>
      <c r="G26" s="4">
        <v>26</v>
      </c>
      <c r="H26" s="4">
        <v>26</v>
      </c>
      <c r="I26" s="4">
        <v>26</v>
      </c>
      <c r="J26" s="4">
        <v>26</v>
      </c>
      <c r="K26" s="4">
        <v>26</v>
      </c>
      <c r="L26" s="4">
        <v>26</v>
      </c>
      <c r="M26" s="48">
        <v>26</v>
      </c>
      <c r="N26" s="49">
        <v>26</v>
      </c>
      <c r="O26" s="59" t="s">
        <v>641</v>
      </c>
      <c r="T26">
        <f t="shared" si="1"/>
        <v>0</v>
      </c>
    </row>
    <row r="27" spans="1:20" ht="19" customHeight="1">
      <c r="A27" s="3" t="s">
        <v>376</v>
      </c>
      <c r="O27" s="59" t="s">
        <v>641</v>
      </c>
      <c r="T27">
        <f t="shared" si="1"/>
        <v>0</v>
      </c>
    </row>
    <row r="28" spans="1:20" ht="19" customHeight="1">
      <c r="A28" s="3" t="s">
        <v>377</v>
      </c>
      <c r="O28" s="59" t="s">
        <v>641</v>
      </c>
      <c r="T28">
        <f t="shared" si="1"/>
        <v>0</v>
      </c>
    </row>
    <row r="29" spans="1:20" ht="19" customHeight="1">
      <c r="A29" s="3" t="s">
        <v>378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8">
        <v>0</v>
      </c>
      <c r="N29" s="49">
        <v>0</v>
      </c>
      <c r="O29" s="59" t="s">
        <v>641</v>
      </c>
      <c r="T29">
        <f t="shared" si="1"/>
        <v>0</v>
      </c>
    </row>
    <row r="30" spans="1:20" ht="19" customHeight="1">
      <c r="A30" s="3" t="s">
        <v>379</v>
      </c>
      <c r="B30" s="4">
        <v>146354</v>
      </c>
      <c r="C30" s="4">
        <v>71358</v>
      </c>
      <c r="D30" s="4">
        <v>116711</v>
      </c>
      <c r="E30" s="4">
        <v>53335</v>
      </c>
      <c r="F30" s="4">
        <v>85889</v>
      </c>
      <c r="G30" s="4">
        <v>94109</v>
      </c>
      <c r="H30" s="4">
        <v>107111</v>
      </c>
      <c r="I30" s="4">
        <v>126311</v>
      </c>
      <c r="J30" s="4">
        <v>143660</v>
      </c>
      <c r="K30" s="4">
        <v>-7637</v>
      </c>
      <c r="L30" s="4">
        <v>-7382</v>
      </c>
      <c r="M30" s="48">
        <v>-7636</v>
      </c>
      <c r="N30" s="49">
        <v>87622</v>
      </c>
      <c r="O30" s="59" t="s">
        <v>641</v>
      </c>
      <c r="T30">
        <f t="shared" si="1"/>
        <v>-7636</v>
      </c>
    </row>
    <row r="31" spans="1:20" ht="19" customHeight="1">
      <c r="A31" s="3" t="s">
        <v>380</v>
      </c>
      <c r="B31" s="4">
        <v>65887</v>
      </c>
      <c r="C31" s="4">
        <v>8258</v>
      </c>
      <c r="D31" s="4">
        <v>49034</v>
      </c>
      <c r="E31" s="4">
        <v>-60</v>
      </c>
      <c r="F31" s="4">
        <v>58413</v>
      </c>
      <c r="G31" s="4">
        <v>65890</v>
      </c>
      <c r="H31" s="4">
        <v>90907</v>
      </c>
      <c r="I31" s="4">
        <v>34099</v>
      </c>
      <c r="J31" s="4">
        <v>50214</v>
      </c>
      <c r="K31" s="4">
        <v>-9645</v>
      </c>
      <c r="L31" s="4">
        <v>-9036</v>
      </c>
      <c r="M31" s="48">
        <v>-9231</v>
      </c>
      <c r="N31" s="49">
        <v>38151</v>
      </c>
      <c r="O31" s="59" t="s">
        <v>641</v>
      </c>
      <c r="T31">
        <f t="shared" si="1"/>
        <v>-9231</v>
      </c>
    </row>
    <row r="32" spans="1:20" ht="19" customHeight="1">
      <c r="A32" s="3" t="s">
        <v>381</v>
      </c>
      <c r="B32" s="4">
        <v>158905</v>
      </c>
      <c r="C32" s="4">
        <v>17700</v>
      </c>
      <c r="D32" s="4">
        <v>436880</v>
      </c>
      <c r="E32" s="4">
        <v>531749</v>
      </c>
      <c r="F32" s="4">
        <v>836577</v>
      </c>
      <c r="G32" s="4">
        <v>841056</v>
      </c>
      <c r="H32" s="4">
        <v>609615</v>
      </c>
      <c r="I32" s="4">
        <v>381879</v>
      </c>
      <c r="J32" s="4">
        <v>668716</v>
      </c>
      <c r="K32" s="4">
        <v>-11282</v>
      </c>
      <c r="L32" s="4">
        <v>-578342</v>
      </c>
      <c r="M32" s="48">
        <v>-694382</v>
      </c>
      <c r="N32" s="49">
        <v>154286</v>
      </c>
      <c r="O32" s="59" t="s">
        <v>641</v>
      </c>
      <c r="T32">
        <f t="shared" si="1"/>
        <v>-694382</v>
      </c>
    </row>
    <row r="33" spans="1:20" ht="19" customHeight="1">
      <c r="A33" s="3" t="s">
        <v>382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8">
        <v>0</v>
      </c>
      <c r="N33" s="49">
        <v>0</v>
      </c>
      <c r="O33" s="59" t="s">
        <v>641</v>
      </c>
      <c r="T33">
        <f t="shared" si="1"/>
        <v>0</v>
      </c>
    </row>
    <row r="34" spans="1:20" ht="19" customHeight="1">
      <c r="A34" s="3" t="s">
        <v>383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8">
        <v>0</v>
      </c>
      <c r="N34" s="49">
        <v>0</v>
      </c>
      <c r="O34" s="59" t="s">
        <v>641</v>
      </c>
      <c r="T34">
        <f t="shared" si="1"/>
        <v>0</v>
      </c>
    </row>
    <row r="35" spans="1:20" ht="19" customHeight="1">
      <c r="A35" s="3" t="s">
        <v>384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8">
        <v>0</v>
      </c>
      <c r="N35" s="49">
        <v>0</v>
      </c>
      <c r="O35" s="59" t="s">
        <v>641</v>
      </c>
      <c r="T35">
        <f t="shared" si="1"/>
        <v>0</v>
      </c>
    </row>
    <row r="36" spans="1:20" ht="19" customHeight="1">
      <c r="A36" s="3" t="s">
        <v>385</v>
      </c>
      <c r="O36" s="59" t="s">
        <v>641</v>
      </c>
      <c r="T36">
        <f t="shared" si="1"/>
        <v>0</v>
      </c>
    </row>
    <row r="37" spans="1:20" ht="19" customHeight="1">
      <c r="A37" s="3" t="s">
        <v>386</v>
      </c>
      <c r="B37" s="4">
        <v>114441</v>
      </c>
      <c r="C37" s="4">
        <v>17515</v>
      </c>
      <c r="D37" s="4">
        <v>30804</v>
      </c>
      <c r="E37" s="4">
        <v>116733</v>
      </c>
      <c r="F37" s="4">
        <v>122586</v>
      </c>
      <c r="G37" s="4">
        <v>143539</v>
      </c>
      <c r="H37" s="4">
        <v>101850</v>
      </c>
      <c r="I37" s="4">
        <v>51232</v>
      </c>
      <c r="J37" s="4">
        <v>126517</v>
      </c>
      <c r="K37" s="4">
        <v>188637</v>
      </c>
      <c r="L37" s="4">
        <v>167671</v>
      </c>
      <c r="M37" s="48">
        <v>68992</v>
      </c>
      <c r="N37" s="49">
        <v>154064</v>
      </c>
      <c r="O37" s="59" t="s">
        <v>641</v>
      </c>
      <c r="T37">
        <f t="shared" si="1"/>
        <v>0</v>
      </c>
    </row>
    <row r="38" spans="1:20" ht="19" customHeight="1">
      <c r="A38" s="3" t="s">
        <v>387</v>
      </c>
      <c r="B38" s="4">
        <v>85061</v>
      </c>
      <c r="C38" s="4">
        <v>30826</v>
      </c>
      <c r="D38" s="4">
        <v>42672</v>
      </c>
      <c r="E38" s="4">
        <v>70958</v>
      </c>
      <c r="F38" s="4">
        <v>83377</v>
      </c>
      <c r="G38" s="4">
        <v>74426</v>
      </c>
      <c r="H38" s="4">
        <v>83185</v>
      </c>
      <c r="I38" s="4">
        <v>83186</v>
      </c>
      <c r="J38" s="4">
        <v>107375</v>
      </c>
      <c r="K38" s="4">
        <v>147679</v>
      </c>
      <c r="L38" s="4">
        <v>171829</v>
      </c>
      <c r="M38" s="48">
        <v>186723</v>
      </c>
      <c r="N38" s="49">
        <v>65987</v>
      </c>
      <c r="O38" s="59" t="s">
        <v>641</v>
      </c>
      <c r="T38">
        <f t="shared" si="1"/>
        <v>0</v>
      </c>
    </row>
    <row r="39" spans="1:20" ht="19" customHeight="1">
      <c r="A39" s="3" t="s">
        <v>388</v>
      </c>
      <c r="B39" s="4">
        <v>51851</v>
      </c>
      <c r="C39" s="4">
        <v>62204</v>
      </c>
      <c r="D39" s="4">
        <v>65508</v>
      </c>
      <c r="E39" s="4">
        <v>2575</v>
      </c>
      <c r="F39" s="4">
        <v>16271</v>
      </c>
      <c r="G39" s="4">
        <v>5385</v>
      </c>
      <c r="H39" s="4">
        <v>6823</v>
      </c>
      <c r="I39" s="4">
        <v>7030</v>
      </c>
      <c r="J39" s="4">
        <v>12099</v>
      </c>
      <c r="K39" s="4">
        <v>18453</v>
      </c>
      <c r="L39" s="4">
        <v>24885</v>
      </c>
      <c r="M39" s="48">
        <v>7640</v>
      </c>
      <c r="N39" s="49">
        <v>49374</v>
      </c>
      <c r="O39" s="59" t="s">
        <v>641</v>
      </c>
      <c r="T39">
        <f t="shared" si="1"/>
        <v>0</v>
      </c>
    </row>
    <row r="40" spans="1:20" ht="19" customHeight="1">
      <c r="A40" s="3" t="s">
        <v>389</v>
      </c>
      <c r="B40" s="4">
        <v>32</v>
      </c>
      <c r="C40" s="4">
        <v>32</v>
      </c>
      <c r="D40" s="4">
        <v>32</v>
      </c>
      <c r="E40" s="4">
        <v>32</v>
      </c>
      <c r="F40" s="4">
        <v>32</v>
      </c>
      <c r="G40" s="4">
        <v>32</v>
      </c>
      <c r="H40" s="4">
        <v>32</v>
      </c>
      <c r="I40" s="4">
        <v>32</v>
      </c>
      <c r="J40" s="4">
        <v>32</v>
      </c>
      <c r="K40" s="4">
        <v>32</v>
      </c>
      <c r="L40" s="4">
        <v>32</v>
      </c>
      <c r="M40" s="48">
        <v>32</v>
      </c>
      <c r="N40" s="49">
        <v>32</v>
      </c>
      <c r="O40" s="59" t="s">
        <v>641</v>
      </c>
      <c r="T40">
        <f t="shared" si="1"/>
        <v>0</v>
      </c>
    </row>
    <row r="41" spans="1:20" ht="19" customHeight="1">
      <c r="A41" s="3" t="s">
        <v>390</v>
      </c>
      <c r="B41" s="4">
        <v>26808</v>
      </c>
      <c r="C41" s="4">
        <v>26373</v>
      </c>
      <c r="D41" s="4">
        <v>30352</v>
      </c>
      <c r="E41" s="4">
        <v>48387</v>
      </c>
      <c r="F41" s="4">
        <v>39757</v>
      </c>
      <c r="G41" s="4">
        <v>44588</v>
      </c>
      <c r="H41" s="4">
        <v>42459</v>
      </c>
      <c r="I41" s="4">
        <v>46644</v>
      </c>
      <c r="J41" s="4">
        <v>45405</v>
      </c>
      <c r="K41" s="4">
        <v>54419</v>
      </c>
      <c r="L41" s="4">
        <v>54930</v>
      </c>
      <c r="M41" s="48">
        <v>57293</v>
      </c>
      <c r="N41" s="49">
        <v>31117</v>
      </c>
      <c r="O41" s="59" t="s">
        <v>641</v>
      </c>
      <c r="T41">
        <f t="shared" si="1"/>
        <v>0</v>
      </c>
    </row>
    <row r="42" spans="1:20" ht="19" customHeight="1">
      <c r="A42" s="3" t="s">
        <v>391</v>
      </c>
      <c r="B42" s="4">
        <v>22967</v>
      </c>
      <c r="C42" s="4">
        <v>28814</v>
      </c>
      <c r="D42" s="4">
        <v>42875</v>
      </c>
      <c r="E42" s="4">
        <v>26438</v>
      </c>
      <c r="F42" s="4">
        <v>33428</v>
      </c>
      <c r="G42" s="4">
        <v>36925</v>
      </c>
      <c r="H42" s="4">
        <v>37536</v>
      </c>
      <c r="I42" s="4">
        <v>38368</v>
      </c>
      <c r="J42" s="4">
        <v>38795</v>
      </c>
      <c r="K42" s="4">
        <v>66433</v>
      </c>
      <c r="L42" s="4">
        <v>66473</v>
      </c>
      <c r="M42" s="48">
        <v>66473</v>
      </c>
      <c r="N42" s="49">
        <v>16977</v>
      </c>
      <c r="O42" s="59" t="s">
        <v>641</v>
      </c>
      <c r="T42">
        <f t="shared" si="1"/>
        <v>0</v>
      </c>
    </row>
    <row r="43" spans="1:20" ht="19" customHeight="1">
      <c r="A43" s="3" t="s">
        <v>392</v>
      </c>
      <c r="B43" s="4">
        <v>9490</v>
      </c>
      <c r="C43" s="4">
        <v>9889</v>
      </c>
      <c r="D43" s="4">
        <v>10352</v>
      </c>
      <c r="E43" s="4">
        <v>10351</v>
      </c>
      <c r="F43" s="4">
        <v>10746</v>
      </c>
      <c r="G43" s="4">
        <v>10746</v>
      </c>
      <c r="H43" s="4">
        <v>10746</v>
      </c>
      <c r="I43" s="4">
        <v>10804</v>
      </c>
      <c r="J43" s="4">
        <v>10804</v>
      </c>
      <c r="K43" s="4">
        <v>10804</v>
      </c>
      <c r="L43" s="4">
        <v>10804</v>
      </c>
      <c r="M43" s="48">
        <v>10804</v>
      </c>
      <c r="N43" s="49">
        <v>9320</v>
      </c>
      <c r="O43" s="59" t="s">
        <v>641</v>
      </c>
      <c r="T43">
        <f t="shared" si="1"/>
        <v>0</v>
      </c>
    </row>
    <row r="44" spans="1:20" ht="19" customHeight="1">
      <c r="A44" s="3" t="s">
        <v>393</v>
      </c>
      <c r="B44" s="4">
        <v>96</v>
      </c>
      <c r="C44" s="4">
        <v>96</v>
      </c>
      <c r="D44" s="4">
        <v>96</v>
      </c>
      <c r="E44" s="4">
        <v>96</v>
      </c>
      <c r="F44" s="4">
        <v>96</v>
      </c>
      <c r="G44" s="4">
        <v>96</v>
      </c>
      <c r="H44" s="4">
        <v>96</v>
      </c>
      <c r="I44" s="4">
        <v>96</v>
      </c>
      <c r="J44" s="4">
        <v>96</v>
      </c>
      <c r="K44" s="4">
        <v>96</v>
      </c>
      <c r="L44" s="4">
        <v>96</v>
      </c>
      <c r="M44" s="48">
        <v>96</v>
      </c>
      <c r="N44" s="49">
        <v>96</v>
      </c>
      <c r="O44" s="59" t="s">
        <v>641</v>
      </c>
      <c r="T44">
        <f t="shared" si="1"/>
        <v>0</v>
      </c>
    </row>
    <row r="45" spans="1:20" ht="19" customHeight="1">
      <c r="A45" s="3" t="s">
        <v>394</v>
      </c>
      <c r="B45" s="4">
        <v>1615</v>
      </c>
      <c r="C45" s="4">
        <v>2023</v>
      </c>
      <c r="D45" s="4">
        <v>1478</v>
      </c>
      <c r="E45" s="4">
        <v>3939</v>
      </c>
      <c r="F45" s="4">
        <v>6553</v>
      </c>
      <c r="G45" s="4">
        <v>9852</v>
      </c>
      <c r="H45" s="4">
        <v>2622</v>
      </c>
      <c r="I45" s="4">
        <v>2938</v>
      </c>
      <c r="J45" s="4">
        <v>5934</v>
      </c>
      <c r="K45" s="4">
        <v>5250</v>
      </c>
      <c r="L45" s="4">
        <v>2044</v>
      </c>
      <c r="M45" s="48">
        <v>7823</v>
      </c>
      <c r="N45" s="49">
        <v>1017</v>
      </c>
      <c r="O45" s="59" t="s">
        <v>641</v>
      </c>
      <c r="T45">
        <f t="shared" si="1"/>
        <v>0</v>
      </c>
    </row>
    <row r="46" spans="1:20" ht="19" customHeight="1">
      <c r="A46" s="3" t="s">
        <v>663</v>
      </c>
      <c r="N46" s="49"/>
      <c r="O46" s="59"/>
      <c r="T46">
        <f t="shared" si="1"/>
        <v>0</v>
      </c>
    </row>
    <row r="47" spans="1:20" ht="19" customHeight="1">
      <c r="A47" s="3" t="s">
        <v>395</v>
      </c>
      <c r="B47" s="4">
        <v>13045</v>
      </c>
      <c r="C47" s="4">
        <v>-31039</v>
      </c>
      <c r="D47" s="4">
        <v>-40169</v>
      </c>
      <c r="E47" s="4">
        <v>-43709</v>
      </c>
      <c r="F47" s="4">
        <v>-43709</v>
      </c>
      <c r="G47" s="4">
        <v>-43709</v>
      </c>
      <c r="H47" s="4">
        <v>-44119</v>
      </c>
      <c r="I47" s="4">
        <v>-44119</v>
      </c>
      <c r="J47" s="4">
        <v>-44119</v>
      </c>
      <c r="K47" s="4">
        <v>-44119</v>
      </c>
      <c r="L47" s="4">
        <v>-44119</v>
      </c>
      <c r="M47" s="48">
        <v>-44119</v>
      </c>
      <c r="N47" s="49">
        <v>0</v>
      </c>
      <c r="O47" s="59" t="s">
        <v>641</v>
      </c>
      <c r="T47">
        <f t="shared" si="1"/>
        <v>-44119</v>
      </c>
    </row>
    <row r="48" spans="1:20" ht="19" customHeight="1">
      <c r="A48" s="3" t="s">
        <v>396</v>
      </c>
      <c r="B48" s="4">
        <v>1000</v>
      </c>
      <c r="C48" s="4">
        <v>1000</v>
      </c>
      <c r="D48" s="4">
        <v>1000</v>
      </c>
      <c r="E48" s="4">
        <v>1000</v>
      </c>
      <c r="F48" s="4">
        <v>1000</v>
      </c>
      <c r="G48" s="4">
        <v>1000</v>
      </c>
      <c r="H48" s="4">
        <v>1000</v>
      </c>
      <c r="I48" s="4">
        <v>1000</v>
      </c>
      <c r="J48" s="4">
        <v>1000</v>
      </c>
      <c r="K48" s="4">
        <v>1000</v>
      </c>
      <c r="L48" s="4">
        <v>1000</v>
      </c>
      <c r="M48" s="48">
        <v>1000</v>
      </c>
      <c r="N48" s="49">
        <v>1000</v>
      </c>
      <c r="O48" s="59" t="s">
        <v>641</v>
      </c>
      <c r="T48">
        <f t="shared" si="1"/>
        <v>0</v>
      </c>
    </row>
    <row r="49" spans="1:20" ht="19" customHeight="1">
      <c r="A49" s="3" t="s">
        <v>397</v>
      </c>
      <c r="O49" s="59" t="s">
        <v>641</v>
      </c>
      <c r="T49">
        <f t="shared" si="1"/>
        <v>0</v>
      </c>
    </row>
    <row r="50" spans="1:20" ht="19" customHeight="1">
      <c r="A50" s="3" t="s">
        <v>398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8">
        <v>0</v>
      </c>
      <c r="N50" s="49">
        <v>0</v>
      </c>
      <c r="O50" s="59" t="s">
        <v>641</v>
      </c>
      <c r="T50">
        <f t="shared" si="1"/>
        <v>0</v>
      </c>
    </row>
    <row r="51" spans="1:20" ht="19" customHeight="1">
      <c r="A51" s="3" t="s">
        <v>399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8">
        <v>0</v>
      </c>
      <c r="N51" s="49">
        <v>0</v>
      </c>
      <c r="O51" s="59" t="s">
        <v>641</v>
      </c>
      <c r="T51">
        <f t="shared" si="1"/>
        <v>0</v>
      </c>
    </row>
    <row r="52" spans="1:20" ht="19" customHeight="1">
      <c r="A52" s="3" t="s">
        <v>400</v>
      </c>
      <c r="O52" s="59" t="s">
        <v>641</v>
      </c>
      <c r="T52">
        <f t="shared" si="1"/>
        <v>0</v>
      </c>
    </row>
    <row r="53" spans="1:20" ht="19" customHeight="1">
      <c r="A53" s="3" t="s">
        <v>401</v>
      </c>
      <c r="B53" s="4">
        <v>-701</v>
      </c>
      <c r="C53" s="4">
        <v>-701</v>
      </c>
      <c r="D53" s="4">
        <v>-701</v>
      </c>
      <c r="E53" s="4">
        <v>-701</v>
      </c>
      <c r="F53" s="4">
        <v>-701</v>
      </c>
      <c r="G53" s="4">
        <v>-701</v>
      </c>
      <c r="H53" s="4">
        <v>-701</v>
      </c>
      <c r="I53" s="4">
        <v>-701</v>
      </c>
      <c r="J53" s="4">
        <v>-701</v>
      </c>
      <c r="K53" s="4">
        <v>-701</v>
      </c>
      <c r="L53" s="4">
        <v>-701</v>
      </c>
      <c r="M53" s="48">
        <v>-701</v>
      </c>
      <c r="N53" s="49">
        <v>-701</v>
      </c>
      <c r="O53" s="59" t="s">
        <v>641</v>
      </c>
      <c r="T53">
        <f t="shared" si="1"/>
        <v>-701</v>
      </c>
    </row>
    <row r="54" spans="1:20" ht="19" customHeight="1">
      <c r="A54" s="3" t="s">
        <v>402</v>
      </c>
      <c r="B54" s="4">
        <v>46</v>
      </c>
      <c r="C54" s="4">
        <v>6</v>
      </c>
      <c r="D54" s="4">
        <v>6</v>
      </c>
      <c r="E54" s="4">
        <v>6</v>
      </c>
      <c r="F54" s="4">
        <v>-4</v>
      </c>
      <c r="G54" s="4">
        <v>-4</v>
      </c>
      <c r="H54" s="4">
        <v>-4</v>
      </c>
      <c r="I54" s="4">
        <v>-4</v>
      </c>
      <c r="J54" s="4">
        <v>-4</v>
      </c>
      <c r="K54" s="4">
        <v>-4</v>
      </c>
      <c r="L54" s="4">
        <v>-4</v>
      </c>
      <c r="M54" s="48">
        <v>-4</v>
      </c>
      <c r="N54" s="49">
        <v>240</v>
      </c>
      <c r="O54" s="59" t="s">
        <v>641</v>
      </c>
      <c r="T54">
        <f t="shared" si="1"/>
        <v>-4</v>
      </c>
    </row>
    <row r="55" spans="1:20" ht="19" customHeight="1">
      <c r="A55" s="3" t="s">
        <v>403</v>
      </c>
      <c r="B55" s="4">
        <v>511</v>
      </c>
      <c r="C55" s="4">
        <v>511</v>
      </c>
      <c r="D55" s="4">
        <v>511</v>
      </c>
      <c r="E55" s="4">
        <v>511</v>
      </c>
      <c r="F55" s="4">
        <v>511</v>
      </c>
      <c r="G55" s="4">
        <v>511</v>
      </c>
      <c r="H55" s="4">
        <v>511</v>
      </c>
      <c r="I55" s="4">
        <v>511</v>
      </c>
      <c r="J55" s="4">
        <v>511</v>
      </c>
      <c r="K55" s="4">
        <v>511</v>
      </c>
      <c r="L55" s="4">
        <v>511</v>
      </c>
      <c r="M55" s="48">
        <v>511</v>
      </c>
      <c r="N55" s="49">
        <v>511</v>
      </c>
      <c r="O55" s="59" t="s">
        <v>641</v>
      </c>
      <c r="T55">
        <f t="shared" si="1"/>
        <v>0</v>
      </c>
    </row>
    <row r="56" spans="1:20" ht="19" customHeight="1">
      <c r="A56" s="3" t="s">
        <v>404</v>
      </c>
      <c r="B56" s="4">
        <v>258</v>
      </c>
      <c r="C56" s="4">
        <v>15</v>
      </c>
      <c r="D56" s="4">
        <v>275</v>
      </c>
      <c r="E56" s="4">
        <v>14</v>
      </c>
      <c r="F56" s="4">
        <v>17</v>
      </c>
      <c r="G56" s="4">
        <v>22</v>
      </c>
      <c r="H56" s="4">
        <v>22</v>
      </c>
      <c r="I56" s="4">
        <v>22</v>
      </c>
      <c r="J56" s="4">
        <v>21</v>
      </c>
      <c r="K56" s="4">
        <v>21</v>
      </c>
      <c r="L56" s="4">
        <v>21</v>
      </c>
      <c r="M56" s="48">
        <v>21</v>
      </c>
      <c r="N56" s="49">
        <v>22</v>
      </c>
      <c r="O56" s="59" t="s">
        <v>641</v>
      </c>
      <c r="T56">
        <f t="shared" si="1"/>
        <v>0</v>
      </c>
    </row>
    <row r="57" spans="1:20" ht="19" customHeight="1">
      <c r="A57" s="3" t="s">
        <v>405</v>
      </c>
      <c r="B57" s="4">
        <v>5675</v>
      </c>
      <c r="C57" s="4">
        <v>13725</v>
      </c>
      <c r="D57" s="4">
        <v>17285</v>
      </c>
      <c r="E57" s="4">
        <v>15531</v>
      </c>
      <c r="F57" s="4">
        <v>14014</v>
      </c>
      <c r="G57" s="4">
        <v>11162</v>
      </c>
      <c r="H57" s="4">
        <v>10379</v>
      </c>
      <c r="I57" s="4">
        <v>13350</v>
      </c>
      <c r="J57" s="4">
        <v>12123</v>
      </c>
      <c r="K57" s="4">
        <v>12706</v>
      </c>
      <c r="L57" s="4">
        <v>10410</v>
      </c>
      <c r="M57" s="48">
        <v>6647</v>
      </c>
      <c r="N57" s="49">
        <v>2398</v>
      </c>
      <c r="O57" s="59" t="s">
        <v>641</v>
      </c>
      <c r="T57">
        <f t="shared" si="1"/>
        <v>0</v>
      </c>
    </row>
    <row r="58" spans="1:20" ht="19" customHeight="1">
      <c r="A58" s="3" t="s">
        <v>664</v>
      </c>
      <c r="O58" s="59" t="s">
        <v>641</v>
      </c>
      <c r="T58">
        <f t="shared" si="1"/>
        <v>0</v>
      </c>
    </row>
    <row r="59" spans="1:20" ht="19" customHeight="1">
      <c r="A59" s="2" t="s">
        <v>406</v>
      </c>
      <c r="B59" s="5">
        <v>1166353</v>
      </c>
      <c r="C59" s="5">
        <v>478374</v>
      </c>
      <c r="D59" s="5">
        <v>686799</v>
      </c>
      <c r="E59" s="5">
        <v>743694</v>
      </c>
      <c r="F59" s="5">
        <v>1445521</v>
      </c>
      <c r="G59" s="5">
        <v>1188742</v>
      </c>
      <c r="H59" s="5">
        <v>885315</v>
      </c>
      <c r="I59" s="5">
        <v>319680</v>
      </c>
      <c r="J59" s="5">
        <v>1011696</v>
      </c>
      <c r="K59" s="5">
        <v>441871</v>
      </c>
      <c r="L59" s="5">
        <v>-92393</v>
      </c>
      <c r="M59" s="51">
        <v>-143743</v>
      </c>
      <c r="N59" s="52">
        <v>2246614</v>
      </c>
      <c r="T59">
        <f t="shared" si="1"/>
        <v>-143743</v>
      </c>
    </row>
    <row r="60" spans="1:20" ht="19" customHeight="1">
      <c r="A60" s="2" t="s">
        <v>407</v>
      </c>
      <c r="N60" s="45"/>
      <c r="T60">
        <f t="shared" si="1"/>
        <v>0</v>
      </c>
    </row>
    <row r="61" spans="1:20" ht="19" customHeight="1">
      <c r="A61" s="3" t="s">
        <v>408</v>
      </c>
      <c r="B61" s="4">
        <v>537105</v>
      </c>
      <c r="C61" s="4">
        <v>520556</v>
      </c>
      <c r="D61" s="4">
        <v>515150</v>
      </c>
      <c r="E61" s="4">
        <v>637474</v>
      </c>
      <c r="F61" s="4">
        <v>495351</v>
      </c>
      <c r="G61" s="4">
        <v>583878</v>
      </c>
      <c r="H61" s="4">
        <v>764746</v>
      </c>
      <c r="I61" s="4">
        <v>730663</v>
      </c>
      <c r="J61" s="4">
        <v>761841</v>
      </c>
      <c r="K61" s="4">
        <v>747070</v>
      </c>
      <c r="L61" s="4">
        <v>831249</v>
      </c>
      <c r="M61" s="48">
        <v>911555</v>
      </c>
      <c r="N61" s="49">
        <v>782887</v>
      </c>
      <c r="O61" s="59" t="s">
        <v>642</v>
      </c>
      <c r="T61">
        <f t="shared" si="1"/>
        <v>0</v>
      </c>
    </row>
    <row r="62" spans="1:20" ht="19" customHeight="1">
      <c r="A62" s="3" t="s">
        <v>409</v>
      </c>
      <c r="B62" s="4">
        <v>163552</v>
      </c>
      <c r="C62" s="4">
        <v>723396</v>
      </c>
      <c r="D62" s="4">
        <v>308789</v>
      </c>
      <c r="E62" s="4">
        <v>221736</v>
      </c>
      <c r="F62" s="4">
        <v>33191</v>
      </c>
      <c r="G62" s="4">
        <v>114380</v>
      </c>
      <c r="H62" s="4">
        <v>324184</v>
      </c>
      <c r="I62" s="4">
        <v>1021877</v>
      </c>
      <c r="J62" s="4">
        <v>731404</v>
      </c>
      <c r="K62" s="4">
        <v>406845</v>
      </c>
      <c r="L62" s="4">
        <v>94272</v>
      </c>
      <c r="M62" s="48">
        <v>36047</v>
      </c>
      <c r="N62" s="49">
        <v>212700</v>
      </c>
      <c r="O62" s="59" t="s">
        <v>642</v>
      </c>
      <c r="T62">
        <f t="shared" si="1"/>
        <v>0</v>
      </c>
    </row>
    <row r="63" spans="1:20" ht="19" customHeight="1">
      <c r="A63" s="3" t="s">
        <v>410</v>
      </c>
      <c r="B63" s="4">
        <v>696676</v>
      </c>
      <c r="C63" s="4">
        <v>723243</v>
      </c>
      <c r="D63" s="4">
        <v>735314</v>
      </c>
      <c r="E63" s="4">
        <v>765094</v>
      </c>
      <c r="F63" s="4">
        <v>780018</v>
      </c>
      <c r="G63" s="4">
        <v>821468</v>
      </c>
      <c r="H63" s="4">
        <v>829995</v>
      </c>
      <c r="I63" s="4">
        <v>840884</v>
      </c>
      <c r="J63" s="4">
        <v>901746</v>
      </c>
      <c r="K63" s="4">
        <v>926931</v>
      </c>
      <c r="L63" s="4">
        <v>989975</v>
      </c>
      <c r="M63" s="48">
        <v>1001866</v>
      </c>
      <c r="N63" s="49">
        <v>750176</v>
      </c>
      <c r="O63" s="59" t="s">
        <v>642</v>
      </c>
      <c r="T63">
        <f t="shared" si="1"/>
        <v>0</v>
      </c>
    </row>
    <row r="64" spans="1:20" ht="19" customHeight="1">
      <c r="A64" s="3" t="s">
        <v>411</v>
      </c>
      <c r="B64" s="4">
        <v>321</v>
      </c>
      <c r="C64" s="4">
        <v>728</v>
      </c>
      <c r="D64" s="4">
        <v>94</v>
      </c>
      <c r="E64" s="4">
        <v>94</v>
      </c>
      <c r="F64" s="4">
        <v>-609</v>
      </c>
      <c r="G64" s="4">
        <v>-559</v>
      </c>
      <c r="H64" s="4">
        <v>-288</v>
      </c>
      <c r="I64" s="4">
        <v>124</v>
      </c>
      <c r="J64" s="4">
        <v>1529</v>
      </c>
      <c r="K64" s="4">
        <v>1700</v>
      </c>
      <c r="L64" s="4">
        <v>-965</v>
      </c>
      <c r="M64" s="48">
        <v>1021</v>
      </c>
      <c r="N64" s="49">
        <v>-416</v>
      </c>
      <c r="O64" s="59" t="s">
        <v>642</v>
      </c>
      <c r="T64">
        <f t="shared" si="1"/>
        <v>0</v>
      </c>
    </row>
    <row r="65" spans="1:20" ht="19" customHeight="1">
      <c r="A65" s="3" t="s">
        <v>412</v>
      </c>
      <c r="B65" s="4">
        <v>168150</v>
      </c>
      <c r="C65" s="4">
        <v>146034</v>
      </c>
      <c r="D65" s="4">
        <v>183629</v>
      </c>
      <c r="E65" s="4">
        <v>143202</v>
      </c>
      <c r="F65" s="4">
        <v>110632</v>
      </c>
      <c r="G65" s="4">
        <v>65315</v>
      </c>
      <c r="H65" s="4">
        <v>90205</v>
      </c>
      <c r="I65" s="4">
        <v>225933</v>
      </c>
      <c r="J65" s="4">
        <v>183680</v>
      </c>
      <c r="K65" s="4">
        <v>104207</v>
      </c>
      <c r="L65" s="4">
        <v>88820</v>
      </c>
      <c r="M65" s="48">
        <v>68017</v>
      </c>
      <c r="N65" s="49">
        <v>191419</v>
      </c>
      <c r="O65" s="59" t="s">
        <v>642</v>
      </c>
      <c r="T65">
        <f t="shared" si="1"/>
        <v>0</v>
      </c>
    </row>
    <row r="66" spans="1:20" ht="19" customHeight="1">
      <c r="A66" s="3" t="s">
        <v>413</v>
      </c>
      <c r="B66" s="4">
        <v>5836</v>
      </c>
      <c r="C66" s="4">
        <v>9961</v>
      </c>
      <c r="D66" s="4">
        <v>54112</v>
      </c>
      <c r="E66" s="4">
        <v>41607</v>
      </c>
      <c r="F66" s="4">
        <v>37632</v>
      </c>
      <c r="G66" s="4">
        <v>22723</v>
      </c>
      <c r="H66" s="4">
        <v>20530</v>
      </c>
      <c r="I66" s="4">
        <v>46041</v>
      </c>
      <c r="J66" s="4">
        <v>54063</v>
      </c>
      <c r="K66" s="4">
        <v>16170</v>
      </c>
      <c r="L66" s="4">
        <v>23358</v>
      </c>
      <c r="M66" s="48">
        <v>810</v>
      </c>
      <c r="N66" s="49">
        <v>3372</v>
      </c>
      <c r="O66" s="59" t="s">
        <v>642</v>
      </c>
      <c r="T66">
        <f t="shared" si="1"/>
        <v>0</v>
      </c>
    </row>
    <row r="67" spans="1:20" ht="19" customHeight="1">
      <c r="A67" s="3" t="s">
        <v>414</v>
      </c>
      <c r="B67" s="4">
        <v>-6</v>
      </c>
      <c r="C67" s="4">
        <v>-6</v>
      </c>
      <c r="D67" s="4">
        <v>-6</v>
      </c>
      <c r="E67" s="4">
        <v>-6</v>
      </c>
      <c r="F67" s="4">
        <v>-6</v>
      </c>
      <c r="G67" s="4">
        <v>94</v>
      </c>
      <c r="H67" s="4">
        <v>250</v>
      </c>
      <c r="I67" s="4">
        <v>250</v>
      </c>
      <c r="J67" s="4">
        <v>250</v>
      </c>
      <c r="K67" s="4">
        <v>250</v>
      </c>
      <c r="L67" s="4">
        <v>324</v>
      </c>
      <c r="M67" s="48">
        <v>324</v>
      </c>
      <c r="N67" s="49">
        <v>-6</v>
      </c>
      <c r="O67" s="59" t="s">
        <v>642</v>
      </c>
      <c r="T67">
        <f t="shared" si="1"/>
        <v>0</v>
      </c>
    </row>
    <row r="68" spans="1:20" ht="19" customHeight="1">
      <c r="A68" s="3" t="s">
        <v>415</v>
      </c>
      <c r="B68" s="4">
        <v>-159</v>
      </c>
      <c r="C68" s="4">
        <v>45</v>
      </c>
      <c r="D68" s="4">
        <v>246</v>
      </c>
      <c r="E68" s="4">
        <v>1248</v>
      </c>
      <c r="F68" s="4">
        <v>-183</v>
      </c>
      <c r="G68" s="4">
        <v>-54</v>
      </c>
      <c r="H68" s="4">
        <v>2868</v>
      </c>
      <c r="I68" s="4">
        <v>843</v>
      </c>
      <c r="J68" s="4">
        <v>1564</v>
      </c>
      <c r="K68" s="4">
        <v>-101</v>
      </c>
      <c r="L68" s="4">
        <v>832</v>
      </c>
      <c r="M68" s="48">
        <v>4777</v>
      </c>
      <c r="O68" s="59" t="s">
        <v>642</v>
      </c>
      <c r="T68">
        <f t="shared" si="1"/>
        <v>0</v>
      </c>
    </row>
    <row r="69" spans="1:20" ht="19" customHeight="1">
      <c r="A69" s="3" t="s">
        <v>416</v>
      </c>
      <c r="O69" s="59" t="s">
        <v>642</v>
      </c>
      <c r="T69">
        <f t="shared" ref="T69:T103" si="2">IF(M69&lt;0,M69,)</f>
        <v>0</v>
      </c>
    </row>
    <row r="70" spans="1:20" ht="19" customHeight="1">
      <c r="A70" s="3" t="s">
        <v>417</v>
      </c>
      <c r="O70" s="59" t="s">
        <v>642</v>
      </c>
      <c r="T70">
        <f t="shared" si="2"/>
        <v>0</v>
      </c>
    </row>
    <row r="71" spans="1:20" ht="19" customHeight="1">
      <c r="A71" s="3" t="s">
        <v>418</v>
      </c>
      <c r="B71" s="4">
        <v>-2088</v>
      </c>
      <c r="C71" s="4">
        <v>-2088</v>
      </c>
      <c r="D71" s="4">
        <v>-2088</v>
      </c>
      <c r="E71" s="4">
        <v>-2088</v>
      </c>
      <c r="F71" s="4">
        <v>-2088</v>
      </c>
      <c r="G71" s="4">
        <v>-2088</v>
      </c>
      <c r="H71" s="4">
        <v>-2088</v>
      </c>
      <c r="I71" s="4">
        <v>-2088</v>
      </c>
      <c r="J71" s="4">
        <v>-2088</v>
      </c>
      <c r="K71" s="4">
        <v>-2088</v>
      </c>
      <c r="L71" s="4">
        <v>-2088</v>
      </c>
      <c r="M71" s="48">
        <v>-2088</v>
      </c>
      <c r="N71" s="49">
        <v>-2088</v>
      </c>
      <c r="O71" s="59" t="s">
        <v>642</v>
      </c>
      <c r="T71">
        <f t="shared" si="2"/>
        <v>-2088</v>
      </c>
    </row>
    <row r="72" spans="1:20" ht="19" customHeight="1">
      <c r="A72" s="3" t="s">
        <v>419</v>
      </c>
      <c r="O72" s="59" t="s">
        <v>642</v>
      </c>
      <c r="T72">
        <f t="shared" si="2"/>
        <v>0</v>
      </c>
    </row>
    <row r="73" spans="1:20" ht="19" customHeight="1">
      <c r="A73" s="3" t="s">
        <v>420</v>
      </c>
      <c r="O73" s="59" t="s">
        <v>642</v>
      </c>
      <c r="T73">
        <f t="shared" si="2"/>
        <v>0</v>
      </c>
    </row>
    <row r="74" spans="1:20" ht="19" customHeight="1">
      <c r="A74" s="3" t="s">
        <v>421</v>
      </c>
      <c r="O74" s="59" t="s">
        <v>642</v>
      </c>
      <c r="T74">
        <f t="shared" si="2"/>
        <v>0</v>
      </c>
    </row>
    <row r="75" spans="1:20" ht="19" customHeight="1">
      <c r="A75" s="3" t="s">
        <v>422</v>
      </c>
      <c r="O75" s="59" t="s">
        <v>642</v>
      </c>
      <c r="T75">
        <f t="shared" si="2"/>
        <v>0</v>
      </c>
    </row>
    <row r="76" spans="1:20" ht="19" customHeight="1">
      <c r="A76" s="3" t="s">
        <v>423</v>
      </c>
      <c r="B76" s="4">
        <v>-7048</v>
      </c>
      <c r="C76" s="4">
        <v>-7048</v>
      </c>
      <c r="D76" s="4">
        <v>-7048</v>
      </c>
      <c r="E76" s="4">
        <v>-7048</v>
      </c>
      <c r="F76" s="4">
        <v>-7048</v>
      </c>
      <c r="G76" s="4">
        <v>-7048</v>
      </c>
      <c r="H76" s="4">
        <v>-7048</v>
      </c>
      <c r="I76" s="4">
        <v>-7048</v>
      </c>
      <c r="J76" s="4">
        <v>-7048</v>
      </c>
      <c r="K76" s="4">
        <v>-7048</v>
      </c>
      <c r="L76" s="4">
        <v>-7048</v>
      </c>
      <c r="M76" s="48">
        <v>-8199</v>
      </c>
      <c r="N76" s="49">
        <v>-11955</v>
      </c>
      <c r="O76" s="59" t="s">
        <v>642</v>
      </c>
      <c r="T76">
        <f t="shared" si="2"/>
        <v>-8199</v>
      </c>
    </row>
    <row r="77" spans="1:20" ht="19" customHeight="1">
      <c r="A77" s="3" t="s">
        <v>424</v>
      </c>
      <c r="B77" s="4">
        <v>165116</v>
      </c>
      <c r="C77" s="4">
        <v>165116</v>
      </c>
      <c r="D77" s="4">
        <v>165116</v>
      </c>
      <c r="E77" s="4">
        <v>165116</v>
      </c>
      <c r="F77" s="4">
        <v>165116</v>
      </c>
      <c r="G77" s="4">
        <v>165116</v>
      </c>
      <c r="H77" s="4">
        <v>165116</v>
      </c>
      <c r="I77" s="4">
        <v>165116</v>
      </c>
      <c r="J77" s="4">
        <v>165116</v>
      </c>
      <c r="K77" s="4">
        <v>165116</v>
      </c>
      <c r="L77" s="4">
        <v>165116</v>
      </c>
      <c r="M77" s="48">
        <v>-103194</v>
      </c>
      <c r="N77" s="49">
        <v>115387</v>
      </c>
      <c r="O77" s="59" t="s">
        <v>642</v>
      </c>
      <c r="T77">
        <f t="shared" si="2"/>
        <v>-103194</v>
      </c>
    </row>
    <row r="78" spans="1:20" ht="19" customHeight="1">
      <c r="A78" s="3" t="s">
        <v>425</v>
      </c>
      <c r="B78" s="4">
        <v>774403</v>
      </c>
      <c r="C78" s="4">
        <v>774403</v>
      </c>
      <c r="D78" s="4">
        <v>774403</v>
      </c>
      <c r="E78" s="4">
        <v>774403</v>
      </c>
      <c r="F78" s="4">
        <v>774403</v>
      </c>
      <c r="G78" s="4">
        <v>774403</v>
      </c>
      <c r="H78" s="4">
        <v>774403</v>
      </c>
      <c r="I78" s="4">
        <v>774403</v>
      </c>
      <c r="J78" s="4">
        <v>774403</v>
      </c>
      <c r="K78" s="4">
        <v>774403</v>
      </c>
      <c r="L78" s="4">
        <v>774403</v>
      </c>
      <c r="M78" s="48">
        <v>774403</v>
      </c>
      <c r="N78" s="49">
        <v>774403</v>
      </c>
      <c r="O78" s="59" t="s">
        <v>642</v>
      </c>
      <c r="T78">
        <f t="shared" si="2"/>
        <v>0</v>
      </c>
    </row>
    <row r="79" spans="1:20" ht="19" customHeight="1">
      <c r="A79" s="3" t="s">
        <v>426</v>
      </c>
      <c r="O79" s="59" t="s">
        <v>642</v>
      </c>
      <c r="T79">
        <f t="shared" si="2"/>
        <v>0</v>
      </c>
    </row>
    <row r="80" spans="1:20" ht="19" customHeight="1">
      <c r="A80" s="3" t="s">
        <v>427</v>
      </c>
      <c r="B80" s="4">
        <v>-25000</v>
      </c>
      <c r="C80" s="4">
        <v>-25000</v>
      </c>
      <c r="D80" s="4">
        <v>-25000</v>
      </c>
      <c r="E80" s="4">
        <v>-25000</v>
      </c>
      <c r="F80" s="4">
        <v>-25000</v>
      </c>
      <c r="G80" s="4">
        <v>-25000</v>
      </c>
      <c r="H80" s="4">
        <v>-25000</v>
      </c>
      <c r="I80" s="4">
        <v>-25000</v>
      </c>
      <c r="J80" s="4">
        <v>-25000</v>
      </c>
      <c r="K80" s="4">
        <v>-25000</v>
      </c>
      <c r="L80" s="4">
        <v>-25000</v>
      </c>
      <c r="M80" s="48">
        <v>-25000</v>
      </c>
      <c r="N80" s="49">
        <v>-25000</v>
      </c>
      <c r="O80" s="59" t="s">
        <v>642</v>
      </c>
      <c r="T80">
        <f t="shared" si="2"/>
        <v>-25000</v>
      </c>
    </row>
    <row r="81" spans="1:20" ht="19" customHeight="1">
      <c r="A81" s="3" t="s">
        <v>428</v>
      </c>
      <c r="B81" s="4">
        <v>-1065</v>
      </c>
      <c r="C81" s="4">
        <v>-1065</v>
      </c>
      <c r="D81" s="4">
        <v>-1065</v>
      </c>
      <c r="E81" s="4">
        <v>-1065</v>
      </c>
      <c r="F81" s="4">
        <v>-1065</v>
      </c>
      <c r="G81" s="4">
        <v>-1065</v>
      </c>
      <c r="H81" s="4">
        <v>-1065</v>
      </c>
      <c r="I81" s="4">
        <v>-1065</v>
      </c>
      <c r="J81" s="4">
        <v>-1065</v>
      </c>
      <c r="K81" s="4">
        <v>-1065</v>
      </c>
      <c r="L81" s="4">
        <v>-1065</v>
      </c>
      <c r="M81" s="48">
        <v>-998</v>
      </c>
      <c r="N81" s="49">
        <v>-1065</v>
      </c>
      <c r="O81" s="59" t="s">
        <v>642</v>
      </c>
      <c r="T81">
        <f t="shared" si="2"/>
        <v>-998</v>
      </c>
    </row>
    <row r="82" spans="1:20" ht="19" customHeight="1">
      <c r="A82" s="3" t="s">
        <v>429</v>
      </c>
      <c r="O82" s="59" t="s">
        <v>642</v>
      </c>
      <c r="T82">
        <f t="shared" si="2"/>
        <v>0</v>
      </c>
    </row>
    <row r="83" spans="1:20" ht="19" customHeight="1">
      <c r="A83" s="3" t="s">
        <v>430</v>
      </c>
      <c r="O83" s="59" t="s">
        <v>642</v>
      </c>
      <c r="T83">
        <f t="shared" si="2"/>
        <v>0</v>
      </c>
    </row>
    <row r="84" spans="1:20" ht="19" customHeight="1">
      <c r="A84" s="2" t="s">
        <v>431</v>
      </c>
      <c r="B84" s="5">
        <v>2475791</v>
      </c>
      <c r="C84" s="5">
        <v>3028273</v>
      </c>
      <c r="D84" s="5">
        <v>2701645</v>
      </c>
      <c r="E84" s="5">
        <v>2714765</v>
      </c>
      <c r="F84" s="5">
        <v>2360342</v>
      </c>
      <c r="G84" s="5">
        <v>2511564</v>
      </c>
      <c r="H84" s="5">
        <v>2936808</v>
      </c>
      <c r="I84" s="5">
        <v>3770933</v>
      </c>
      <c r="J84" s="5">
        <v>3540393</v>
      </c>
      <c r="K84" s="5">
        <v>3107388</v>
      </c>
      <c r="L84" s="5">
        <v>2932184</v>
      </c>
      <c r="M84" s="51">
        <v>2659341</v>
      </c>
      <c r="N84" s="52">
        <v>2789813</v>
      </c>
      <c r="T84">
        <f t="shared" si="2"/>
        <v>0</v>
      </c>
    </row>
    <row r="85" spans="1:20" ht="19" customHeight="1">
      <c r="A85" s="2" t="s">
        <v>432</v>
      </c>
      <c r="N85" s="45"/>
      <c r="T85">
        <f t="shared" si="2"/>
        <v>0</v>
      </c>
    </row>
    <row r="86" spans="1:20" ht="19" customHeight="1">
      <c r="A86" s="3" t="s">
        <v>433</v>
      </c>
      <c r="B86" s="4">
        <v>1781240</v>
      </c>
      <c r="C86" s="4">
        <v>1787959</v>
      </c>
      <c r="D86" s="4">
        <v>1672029</v>
      </c>
      <c r="E86" s="4">
        <v>1717775</v>
      </c>
      <c r="F86" s="4">
        <v>1533408</v>
      </c>
      <c r="G86" s="4">
        <v>1396111</v>
      </c>
      <c r="H86" s="4">
        <v>1274252</v>
      </c>
      <c r="I86" s="4">
        <v>1619279</v>
      </c>
      <c r="J86" s="4">
        <v>1489824</v>
      </c>
      <c r="K86" s="4">
        <v>1477625</v>
      </c>
      <c r="L86" s="4">
        <v>1763015</v>
      </c>
      <c r="M86" s="48">
        <v>1642551</v>
      </c>
      <c r="N86" s="49">
        <v>1565504</v>
      </c>
      <c r="O86" s="59" t="s">
        <v>641</v>
      </c>
      <c r="T86">
        <f t="shared" si="2"/>
        <v>0</v>
      </c>
    </row>
    <row r="87" spans="1:20" ht="19" customHeight="1">
      <c r="A87" s="3" t="s">
        <v>434</v>
      </c>
      <c r="B87" s="4">
        <v>4</v>
      </c>
      <c r="C87" s="4">
        <v>4</v>
      </c>
      <c r="D87" s="4">
        <v>4</v>
      </c>
      <c r="E87" s="4">
        <v>4</v>
      </c>
      <c r="F87" s="4">
        <v>4</v>
      </c>
      <c r="G87" s="4">
        <v>4</v>
      </c>
      <c r="H87" s="4">
        <v>4</v>
      </c>
      <c r="I87" s="4">
        <v>4</v>
      </c>
      <c r="J87" s="4">
        <v>4</v>
      </c>
      <c r="K87" s="4">
        <v>4</v>
      </c>
      <c r="L87" s="4">
        <v>4</v>
      </c>
      <c r="M87" s="48">
        <v>4</v>
      </c>
      <c r="N87" s="49">
        <v>4</v>
      </c>
      <c r="O87" s="59" t="s">
        <v>641</v>
      </c>
      <c r="T87">
        <f t="shared" si="2"/>
        <v>0</v>
      </c>
    </row>
    <row r="88" spans="1:20" ht="19" customHeight="1">
      <c r="A88" s="3" t="s">
        <v>435</v>
      </c>
      <c r="B88" s="4">
        <v>2613257</v>
      </c>
      <c r="C88" s="4">
        <v>2799179</v>
      </c>
      <c r="D88" s="4">
        <v>2879452</v>
      </c>
      <c r="E88" s="4">
        <v>2719755</v>
      </c>
      <c r="F88" s="4">
        <v>2585424</v>
      </c>
      <c r="G88" s="4">
        <v>2591651</v>
      </c>
      <c r="H88" s="4">
        <v>2334744</v>
      </c>
      <c r="I88" s="4">
        <v>2420676</v>
      </c>
      <c r="J88" s="4">
        <v>2404810</v>
      </c>
      <c r="K88" s="4">
        <v>2315397</v>
      </c>
      <c r="L88" s="4">
        <v>0</v>
      </c>
      <c r="M88" s="48">
        <v>0</v>
      </c>
      <c r="N88" s="49">
        <v>2715468</v>
      </c>
      <c r="O88" s="59" t="s">
        <v>641</v>
      </c>
      <c r="T88">
        <f t="shared" si="2"/>
        <v>0</v>
      </c>
    </row>
    <row r="89" spans="1:20" ht="19" customHeight="1">
      <c r="A89" s="3" t="s">
        <v>436</v>
      </c>
      <c r="B89" s="4">
        <v>995</v>
      </c>
      <c r="D89" s="4">
        <v>123</v>
      </c>
      <c r="E89" s="4">
        <v>458</v>
      </c>
      <c r="H89" s="4">
        <v>202</v>
      </c>
      <c r="I89" s="4">
        <v>469</v>
      </c>
      <c r="J89" s="4">
        <v>584</v>
      </c>
      <c r="K89" s="4">
        <v>584</v>
      </c>
      <c r="N89" s="49">
        <v>910</v>
      </c>
      <c r="O89" s="59" t="s">
        <v>641</v>
      </c>
      <c r="T89">
        <f t="shared" si="2"/>
        <v>0</v>
      </c>
    </row>
    <row r="90" spans="1:20" ht="19" customHeight="1">
      <c r="A90" s="3" t="s">
        <v>437</v>
      </c>
      <c r="B90" s="4">
        <v>20612</v>
      </c>
      <c r="C90" s="4">
        <v>20612</v>
      </c>
      <c r="D90" s="4">
        <v>20612</v>
      </c>
      <c r="E90" s="4">
        <v>20612</v>
      </c>
      <c r="F90" s="4">
        <v>20612</v>
      </c>
      <c r="G90" s="4">
        <v>20612</v>
      </c>
      <c r="H90" s="4">
        <v>20612</v>
      </c>
      <c r="I90" s="4">
        <v>20612</v>
      </c>
      <c r="J90" s="4">
        <v>20612</v>
      </c>
      <c r="K90" s="4">
        <v>20612</v>
      </c>
      <c r="L90" s="4">
        <v>20612</v>
      </c>
      <c r="M90" s="48">
        <v>20591</v>
      </c>
      <c r="N90" s="49">
        <v>20612</v>
      </c>
      <c r="O90" s="59" t="s">
        <v>641</v>
      </c>
      <c r="T90">
        <f t="shared" si="2"/>
        <v>0</v>
      </c>
    </row>
    <row r="91" spans="1:20" ht="19" customHeight="1">
      <c r="A91" s="3" t="s">
        <v>438</v>
      </c>
      <c r="B91" s="4">
        <v>520875</v>
      </c>
      <c r="C91" s="4">
        <v>458406</v>
      </c>
      <c r="D91" s="4">
        <v>444038</v>
      </c>
      <c r="E91" s="4">
        <v>429103</v>
      </c>
      <c r="F91" s="4">
        <v>395665</v>
      </c>
      <c r="G91" s="4">
        <v>389542</v>
      </c>
      <c r="H91" s="4">
        <v>369241</v>
      </c>
      <c r="I91" s="4">
        <v>351696</v>
      </c>
      <c r="J91" s="4">
        <v>337591</v>
      </c>
      <c r="K91" s="4">
        <v>299778</v>
      </c>
      <c r="L91" s="4">
        <v>293160</v>
      </c>
      <c r="M91" s="48">
        <v>287717</v>
      </c>
      <c r="N91" s="49">
        <v>533897</v>
      </c>
      <c r="O91" s="59" t="s">
        <v>641</v>
      </c>
      <c r="T91">
        <f t="shared" si="2"/>
        <v>0</v>
      </c>
    </row>
    <row r="92" spans="1:20" ht="19" customHeight="1">
      <c r="A92" s="3" t="s">
        <v>439</v>
      </c>
      <c r="O92" s="59" t="s">
        <v>641</v>
      </c>
      <c r="T92">
        <f t="shared" si="2"/>
        <v>0</v>
      </c>
    </row>
    <row r="93" spans="1:20" ht="19" customHeight="1">
      <c r="A93" s="3" t="s">
        <v>440</v>
      </c>
      <c r="B93" s="4">
        <v>-61469</v>
      </c>
      <c r="C93" s="4">
        <v>22544</v>
      </c>
      <c r="D93" s="4">
        <v>39631</v>
      </c>
      <c r="E93" s="4">
        <v>-49235</v>
      </c>
      <c r="F93" s="4">
        <v>34720</v>
      </c>
      <c r="G93" s="4">
        <v>32193</v>
      </c>
      <c r="H93" s="4">
        <v>81807</v>
      </c>
      <c r="I93" s="4">
        <v>2647</v>
      </c>
      <c r="J93" s="4">
        <v>-5695</v>
      </c>
      <c r="K93" s="4">
        <v>-69987</v>
      </c>
      <c r="L93" s="4">
        <v>-71774</v>
      </c>
      <c r="M93" s="48">
        <v>-71774</v>
      </c>
      <c r="N93" s="49">
        <v>-71774</v>
      </c>
      <c r="O93" s="59" t="s">
        <v>641</v>
      </c>
      <c r="T93">
        <f t="shared" si="2"/>
        <v>-71774</v>
      </c>
    </row>
    <row r="94" spans="1:20" ht="19" customHeight="1">
      <c r="A94" s="3" t="s">
        <v>441</v>
      </c>
      <c r="B94" s="4">
        <v>71774</v>
      </c>
      <c r="C94" s="4">
        <v>71774</v>
      </c>
      <c r="D94" s="4">
        <v>71774</v>
      </c>
      <c r="E94" s="4">
        <v>71774</v>
      </c>
      <c r="F94" s="4">
        <v>71774</v>
      </c>
      <c r="G94" s="4">
        <v>71774</v>
      </c>
      <c r="H94" s="4">
        <v>71774</v>
      </c>
      <c r="I94" s="4">
        <v>71774</v>
      </c>
      <c r="J94" s="4">
        <v>71774</v>
      </c>
      <c r="K94" s="4">
        <v>71774</v>
      </c>
      <c r="L94" s="4">
        <v>71774</v>
      </c>
      <c r="M94" s="48">
        <v>71774</v>
      </c>
      <c r="N94" s="49">
        <v>71774</v>
      </c>
      <c r="O94" s="59" t="s">
        <v>641</v>
      </c>
      <c r="T94">
        <f t="shared" si="2"/>
        <v>0</v>
      </c>
    </row>
    <row r="95" spans="1:20" ht="19" customHeight="1">
      <c r="A95" s="3" t="s">
        <v>442</v>
      </c>
      <c r="B95" s="4">
        <v>-7702</v>
      </c>
      <c r="C95" s="4">
        <v>-7702</v>
      </c>
      <c r="D95" s="4">
        <v>-7702</v>
      </c>
      <c r="E95" s="4">
        <v>-7702</v>
      </c>
      <c r="F95" s="4">
        <v>-7702</v>
      </c>
      <c r="G95" s="4">
        <v>-7702</v>
      </c>
      <c r="H95" s="4">
        <v>-7702</v>
      </c>
      <c r="I95" s="4">
        <v>-7702</v>
      </c>
      <c r="J95" s="4">
        <v>-7702</v>
      </c>
      <c r="K95" s="4">
        <v>-7702</v>
      </c>
      <c r="L95" s="4">
        <v>-7702</v>
      </c>
      <c r="M95" s="48">
        <v>-7702</v>
      </c>
      <c r="N95" s="49">
        <v>-7702</v>
      </c>
      <c r="O95" s="59" t="s">
        <v>641</v>
      </c>
      <c r="T95">
        <f t="shared" si="2"/>
        <v>-7702</v>
      </c>
    </row>
    <row r="96" spans="1:20" ht="19" customHeight="1">
      <c r="A96" s="3" t="s">
        <v>443</v>
      </c>
      <c r="B96" s="4">
        <v>471378</v>
      </c>
      <c r="C96" s="4">
        <v>177334</v>
      </c>
      <c r="D96" s="4">
        <v>16116</v>
      </c>
      <c r="E96" s="4">
        <v>32424</v>
      </c>
      <c r="F96" s="4">
        <v>23226</v>
      </c>
      <c r="G96" s="4">
        <v>206652</v>
      </c>
      <c r="H96" s="4">
        <v>833848</v>
      </c>
      <c r="I96" s="4">
        <v>220618</v>
      </c>
      <c r="J96" s="4">
        <v>-25216</v>
      </c>
      <c r="K96" s="4">
        <v>-12255</v>
      </c>
      <c r="L96" s="4">
        <v>-73445</v>
      </c>
      <c r="M96" s="48">
        <v>-47225</v>
      </c>
      <c r="N96" s="49">
        <v>-38061</v>
      </c>
      <c r="O96" s="59" t="s">
        <v>641</v>
      </c>
      <c r="T96">
        <f t="shared" si="2"/>
        <v>-47225</v>
      </c>
    </row>
    <row r="97" spans="1:20" ht="19" customHeight="1">
      <c r="A97" s="3" t="s">
        <v>444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12</v>
      </c>
      <c r="J97" s="4">
        <v>12</v>
      </c>
      <c r="K97" s="4">
        <v>12</v>
      </c>
      <c r="L97" s="4">
        <v>12</v>
      </c>
      <c r="M97" s="48">
        <v>12</v>
      </c>
      <c r="N97" s="49">
        <v>0</v>
      </c>
      <c r="O97" s="59" t="s">
        <v>641</v>
      </c>
      <c r="T97">
        <f t="shared" si="2"/>
        <v>0</v>
      </c>
    </row>
    <row r="98" spans="1:20" ht="19" customHeight="1">
      <c r="A98" s="3" t="s">
        <v>445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8">
        <v>0</v>
      </c>
      <c r="N98" s="49">
        <v>0</v>
      </c>
      <c r="O98" s="59" t="s">
        <v>641</v>
      </c>
      <c r="T98">
        <f t="shared" si="2"/>
        <v>0</v>
      </c>
    </row>
    <row r="99" spans="1:20" ht="19" customHeight="1">
      <c r="A99" s="3" t="s">
        <v>446</v>
      </c>
      <c r="B99" s="4">
        <v>0</v>
      </c>
      <c r="C99" s="4">
        <v>0</v>
      </c>
      <c r="D99" s="4">
        <v>-4</v>
      </c>
      <c r="E99" s="4">
        <v>-4</v>
      </c>
      <c r="F99" s="4">
        <v>-4</v>
      </c>
      <c r="G99" s="4">
        <v>-4</v>
      </c>
      <c r="H99" s="4">
        <v>-4</v>
      </c>
      <c r="I99" s="4">
        <v>-4</v>
      </c>
      <c r="J99" s="4">
        <v>-4</v>
      </c>
      <c r="K99" s="4">
        <v>44</v>
      </c>
      <c r="L99" s="4">
        <v>44</v>
      </c>
      <c r="M99" s="48">
        <v>44</v>
      </c>
      <c r="N99" s="49">
        <v>0</v>
      </c>
      <c r="O99" s="59" t="s">
        <v>641</v>
      </c>
      <c r="T99">
        <f t="shared" si="2"/>
        <v>0</v>
      </c>
    </row>
    <row r="100" spans="1:20" ht="19" customHeight="1">
      <c r="A100" s="3" t="s">
        <v>447</v>
      </c>
      <c r="B100" s="4">
        <v>2066</v>
      </c>
      <c r="C100" s="4">
        <v>2066</v>
      </c>
      <c r="D100" s="4">
        <v>2066</v>
      </c>
      <c r="E100" s="4">
        <v>2066</v>
      </c>
      <c r="F100" s="4">
        <v>2066</v>
      </c>
      <c r="G100" s="4">
        <v>2066</v>
      </c>
      <c r="H100" s="4">
        <v>2066</v>
      </c>
      <c r="I100" s="4">
        <v>2066</v>
      </c>
      <c r="J100" s="4">
        <v>2066</v>
      </c>
      <c r="K100" s="4">
        <v>2066</v>
      </c>
      <c r="L100" s="4">
        <v>2066</v>
      </c>
      <c r="M100" s="48">
        <v>2066</v>
      </c>
      <c r="N100" s="49">
        <v>2066</v>
      </c>
      <c r="O100" s="59" t="s">
        <v>641</v>
      </c>
      <c r="T100">
        <f t="shared" si="2"/>
        <v>0</v>
      </c>
    </row>
    <row r="101" spans="1:20" ht="19" customHeight="1">
      <c r="A101" s="3" t="s">
        <v>448</v>
      </c>
      <c r="T101">
        <f t="shared" si="2"/>
        <v>0</v>
      </c>
    </row>
    <row r="102" spans="1:20" ht="19" customHeight="1">
      <c r="A102" s="3" t="s">
        <v>665</v>
      </c>
      <c r="T102">
        <f t="shared" si="2"/>
        <v>0</v>
      </c>
    </row>
    <row r="103" spans="1:20" ht="19" customHeight="1">
      <c r="A103" s="2" t="s">
        <v>449</v>
      </c>
      <c r="B103" s="5">
        <v>5413030</v>
      </c>
      <c r="C103" s="5">
        <v>5332176</v>
      </c>
      <c r="D103" s="5">
        <v>5138139</v>
      </c>
      <c r="E103" s="5">
        <v>4937028</v>
      </c>
      <c r="F103" s="5">
        <v>4659191</v>
      </c>
      <c r="G103" s="5">
        <v>4702900</v>
      </c>
      <c r="H103" s="5">
        <v>4980844</v>
      </c>
      <c r="I103" s="5">
        <v>4702146</v>
      </c>
      <c r="J103" s="5">
        <v>4288660</v>
      </c>
      <c r="K103" s="5">
        <v>4097953</v>
      </c>
      <c r="L103" s="5">
        <v>1997766</v>
      </c>
      <c r="M103" s="51">
        <v>1898059</v>
      </c>
      <c r="N103" s="52">
        <v>4792698</v>
      </c>
      <c r="T103">
        <f t="shared" si="2"/>
        <v>0</v>
      </c>
    </row>
    <row r="104" spans="1:20" ht="19" customHeight="1">
      <c r="A104" s="2" t="s">
        <v>450</v>
      </c>
    </row>
    <row r="105" spans="1:20" ht="19" customHeight="1">
      <c r="A105" s="3" t="s">
        <v>450</v>
      </c>
    </row>
    <row r="106" spans="1:20" ht="19" customHeight="1">
      <c r="A106" s="2" t="s">
        <v>451</v>
      </c>
    </row>
    <row r="107" spans="1:20" ht="19" customHeight="1">
      <c r="A107" s="2" t="s">
        <v>452</v>
      </c>
      <c r="N107" s="45"/>
    </row>
    <row r="108" spans="1:20" ht="19" customHeight="1">
      <c r="A108" s="3" t="s">
        <v>453</v>
      </c>
      <c r="B108" s="4">
        <v>197884</v>
      </c>
      <c r="C108" s="4">
        <v>197884</v>
      </c>
      <c r="D108" s="4">
        <v>197884</v>
      </c>
      <c r="E108" s="4">
        <v>197884</v>
      </c>
      <c r="F108" s="4">
        <v>197884</v>
      </c>
      <c r="G108" s="4">
        <v>197884</v>
      </c>
      <c r="H108" s="4">
        <v>197884</v>
      </c>
      <c r="I108" s="4">
        <v>197884</v>
      </c>
      <c r="J108" s="4">
        <v>197884</v>
      </c>
      <c r="K108" s="4">
        <v>197884</v>
      </c>
      <c r="L108" s="4">
        <v>197884</v>
      </c>
      <c r="M108" s="48">
        <v>211756</v>
      </c>
      <c r="N108" s="49">
        <v>217232</v>
      </c>
    </row>
    <row r="109" spans="1:20" ht="19" customHeight="1">
      <c r="A109" s="3" t="s">
        <v>454</v>
      </c>
      <c r="B109" s="4">
        <v>-70014</v>
      </c>
      <c r="C109" s="4">
        <v>-70014</v>
      </c>
      <c r="D109" s="4">
        <v>-70014</v>
      </c>
      <c r="E109" s="4">
        <v>-70014</v>
      </c>
      <c r="F109" s="4">
        <v>-70014</v>
      </c>
      <c r="G109" s="4">
        <v>-70014</v>
      </c>
      <c r="H109" s="4">
        <v>-70014</v>
      </c>
      <c r="I109" s="4">
        <v>-74497</v>
      </c>
      <c r="J109" s="4">
        <v>-75044</v>
      </c>
      <c r="K109" s="4">
        <v>-75573</v>
      </c>
      <c r="L109" s="4">
        <v>-76120</v>
      </c>
      <c r="M109" s="48">
        <v>-71707</v>
      </c>
      <c r="N109" s="49">
        <v>-67810</v>
      </c>
    </row>
    <row r="110" spans="1:20" ht="19" customHeight="1">
      <c r="A110" s="3" t="s">
        <v>455</v>
      </c>
      <c r="B110" s="4">
        <v>141529</v>
      </c>
      <c r="C110" s="4">
        <v>141529</v>
      </c>
      <c r="D110" s="4">
        <v>141529</v>
      </c>
      <c r="E110" s="4">
        <v>141529</v>
      </c>
      <c r="F110" s="4">
        <v>141529</v>
      </c>
      <c r="G110" s="4">
        <v>141529</v>
      </c>
      <c r="H110" s="4">
        <v>141529</v>
      </c>
      <c r="I110" s="4">
        <v>141529</v>
      </c>
      <c r="J110" s="4">
        <v>141529</v>
      </c>
      <c r="K110" s="4">
        <v>141529</v>
      </c>
      <c r="L110" s="4">
        <v>141529</v>
      </c>
      <c r="M110" s="48">
        <v>141529</v>
      </c>
      <c r="N110" s="49">
        <v>142739</v>
      </c>
    </row>
    <row r="111" spans="1:20" ht="19" customHeight="1">
      <c r="A111" s="3" t="s">
        <v>456</v>
      </c>
      <c r="B111" s="4">
        <v>-56431</v>
      </c>
      <c r="C111" s="4">
        <v>-56431</v>
      </c>
      <c r="D111" s="4">
        <v>-56431</v>
      </c>
      <c r="E111" s="4">
        <v>-56431</v>
      </c>
      <c r="F111" s="4">
        <v>-56431</v>
      </c>
      <c r="G111" s="4">
        <v>-56431</v>
      </c>
      <c r="H111" s="4">
        <v>-56431</v>
      </c>
      <c r="I111" s="4">
        <v>-56431</v>
      </c>
      <c r="J111" s="4">
        <v>-56431</v>
      </c>
      <c r="K111" s="4">
        <v>-56431</v>
      </c>
      <c r="L111" s="4">
        <v>-56431</v>
      </c>
      <c r="M111" s="48">
        <v>-56431</v>
      </c>
      <c r="N111" s="49">
        <v>-74843</v>
      </c>
    </row>
    <row r="112" spans="1:20" ht="19" customHeight="1">
      <c r="A112" s="3" t="s">
        <v>457</v>
      </c>
      <c r="B112" s="4">
        <v>473506</v>
      </c>
      <c r="C112" s="4">
        <v>473506</v>
      </c>
      <c r="D112" s="4">
        <v>495824</v>
      </c>
      <c r="E112" s="4">
        <v>515824</v>
      </c>
      <c r="F112" s="4">
        <v>515824</v>
      </c>
      <c r="G112" s="4">
        <v>515824</v>
      </c>
      <c r="H112" s="4">
        <v>515824</v>
      </c>
      <c r="I112" s="4">
        <v>515163</v>
      </c>
      <c r="J112" s="4">
        <v>515163</v>
      </c>
      <c r="K112" s="4">
        <v>515543</v>
      </c>
      <c r="L112" s="4">
        <v>529157</v>
      </c>
      <c r="M112" s="48">
        <v>561132</v>
      </c>
      <c r="N112" s="49">
        <v>521740</v>
      </c>
    </row>
    <row r="113" spans="1:15" ht="19" customHeight="1">
      <c r="A113" s="3" t="s">
        <v>458</v>
      </c>
      <c r="B113" s="4">
        <v>-145884</v>
      </c>
      <c r="C113" s="4">
        <v>-145884</v>
      </c>
      <c r="D113" s="4">
        <v>-145884</v>
      </c>
      <c r="E113" s="4">
        <v>-145884</v>
      </c>
      <c r="F113" s="4">
        <v>-145884</v>
      </c>
      <c r="G113" s="4">
        <v>-145884</v>
      </c>
      <c r="H113" s="4">
        <v>-145884</v>
      </c>
      <c r="I113" s="4">
        <v>-143396</v>
      </c>
      <c r="J113" s="4">
        <v>-144667</v>
      </c>
      <c r="K113" s="4">
        <v>-145930</v>
      </c>
      <c r="L113" s="4">
        <v>-148395</v>
      </c>
      <c r="M113" s="48">
        <v>-155552</v>
      </c>
      <c r="N113" s="49">
        <v>-197779</v>
      </c>
    </row>
    <row r="114" spans="1:15" ht="19" customHeight="1">
      <c r="A114" s="3" t="s">
        <v>459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8">
        <v>0</v>
      </c>
      <c r="N114" s="49">
        <v>0</v>
      </c>
    </row>
    <row r="115" spans="1:15" ht="19" customHeight="1">
      <c r="A115" s="3" t="s">
        <v>460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8">
        <v>0</v>
      </c>
      <c r="N115" s="49">
        <v>0</v>
      </c>
    </row>
    <row r="116" spans="1:15" ht="19" customHeight="1">
      <c r="A116" s="3" t="s">
        <v>461</v>
      </c>
      <c r="B116" s="4">
        <v>55107</v>
      </c>
      <c r="C116" s="4">
        <v>55107</v>
      </c>
      <c r="D116" s="4">
        <v>55107</v>
      </c>
      <c r="E116" s="4">
        <v>55107</v>
      </c>
      <c r="F116" s="4">
        <v>55107</v>
      </c>
      <c r="G116" s="4">
        <v>55107</v>
      </c>
      <c r="H116" s="4">
        <v>55107</v>
      </c>
      <c r="I116" s="4">
        <v>55107</v>
      </c>
      <c r="J116" s="4">
        <v>55107</v>
      </c>
      <c r="K116" s="4">
        <v>55107</v>
      </c>
      <c r="L116" s="4">
        <v>68873</v>
      </c>
      <c r="M116" s="48">
        <v>73087</v>
      </c>
      <c r="N116" s="49">
        <v>55107</v>
      </c>
    </row>
    <row r="117" spans="1:15" ht="19" customHeight="1">
      <c r="A117" s="3" t="s">
        <v>462</v>
      </c>
      <c r="B117" s="4">
        <v>-4851</v>
      </c>
      <c r="C117" s="4">
        <v>-4851</v>
      </c>
      <c r="D117" s="4">
        <v>-4851</v>
      </c>
      <c r="E117" s="4">
        <v>-4851</v>
      </c>
      <c r="F117" s="4">
        <v>-4851</v>
      </c>
      <c r="G117" s="4">
        <v>-4851</v>
      </c>
      <c r="H117" s="4">
        <v>-4851</v>
      </c>
      <c r="I117" s="4">
        <v>-5875</v>
      </c>
      <c r="J117" s="4">
        <v>-6093</v>
      </c>
      <c r="K117" s="4">
        <v>-6303</v>
      </c>
      <c r="L117" s="4">
        <v>-6682</v>
      </c>
      <c r="M117" s="48">
        <v>-6508</v>
      </c>
      <c r="N117" s="49">
        <v>-3897</v>
      </c>
    </row>
    <row r="118" spans="1:15" ht="19" customHeight="1">
      <c r="A118" s="3" t="s">
        <v>463</v>
      </c>
      <c r="B118" s="4">
        <v>160790</v>
      </c>
      <c r="C118" s="4">
        <v>160790</v>
      </c>
      <c r="D118" s="4">
        <v>160790</v>
      </c>
      <c r="E118" s="4">
        <v>160790</v>
      </c>
      <c r="F118" s="4">
        <v>160790</v>
      </c>
      <c r="G118" s="4">
        <v>160790</v>
      </c>
      <c r="H118" s="4">
        <v>160790</v>
      </c>
      <c r="I118" s="4">
        <v>160790</v>
      </c>
      <c r="J118" s="4">
        <v>160790</v>
      </c>
      <c r="K118" s="4">
        <v>160790</v>
      </c>
      <c r="L118" s="4">
        <v>160790</v>
      </c>
      <c r="M118" s="48">
        <v>160790</v>
      </c>
      <c r="N118" s="49">
        <v>160790</v>
      </c>
    </row>
    <row r="119" spans="1:15" ht="19" customHeight="1">
      <c r="A119" s="3" t="s">
        <v>464</v>
      </c>
      <c r="B119" s="4">
        <v>-29826</v>
      </c>
      <c r="C119" s="4">
        <v>-29826</v>
      </c>
      <c r="D119" s="4">
        <v>-29826</v>
      </c>
      <c r="E119" s="4">
        <v>-29826</v>
      </c>
      <c r="F119" s="4">
        <v>-29826</v>
      </c>
      <c r="G119" s="4">
        <v>-29826</v>
      </c>
      <c r="H119" s="4">
        <v>-29826</v>
      </c>
      <c r="I119" s="4">
        <v>-29826</v>
      </c>
      <c r="J119" s="4">
        <v>-29826</v>
      </c>
      <c r="K119" s="4">
        <v>-29826</v>
      </c>
      <c r="L119" s="4">
        <v>-29826</v>
      </c>
      <c r="M119" s="48">
        <v>0</v>
      </c>
      <c r="N119" s="49">
        <v>0</v>
      </c>
    </row>
    <row r="120" spans="1:15" ht="19" customHeight="1">
      <c r="A120" s="3" t="s">
        <v>465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8">
        <v>11843</v>
      </c>
      <c r="N120" s="49">
        <v>0</v>
      </c>
    </row>
    <row r="121" spans="1:15" ht="19" customHeight="1">
      <c r="A121" s="3" t="s">
        <v>466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-2513</v>
      </c>
      <c r="J121" s="4">
        <v>-2892</v>
      </c>
      <c r="K121" s="4">
        <v>-3259</v>
      </c>
      <c r="L121" s="4">
        <v>-3638</v>
      </c>
      <c r="M121" s="48">
        <v>-4700</v>
      </c>
      <c r="N121" s="49">
        <v>0</v>
      </c>
    </row>
    <row r="122" spans="1:15" ht="19" customHeight="1">
      <c r="A122" s="3" t="s">
        <v>467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8">
        <v>0</v>
      </c>
      <c r="N122" s="49">
        <v>0</v>
      </c>
    </row>
    <row r="123" spans="1:15" ht="19" customHeight="1">
      <c r="A123" s="3" t="s">
        <v>468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8">
        <v>0</v>
      </c>
      <c r="N123" s="49">
        <v>0</v>
      </c>
    </row>
    <row r="124" spans="1:15" ht="19" customHeight="1">
      <c r="A124" s="2" t="s">
        <v>469</v>
      </c>
      <c r="B124" s="5">
        <v>721811</v>
      </c>
      <c r="C124" s="5">
        <v>721811</v>
      </c>
      <c r="D124" s="5">
        <v>744129</v>
      </c>
      <c r="E124" s="5">
        <v>764129</v>
      </c>
      <c r="F124" s="5">
        <v>764129</v>
      </c>
      <c r="G124" s="5">
        <v>764129</v>
      </c>
      <c r="H124" s="5">
        <v>764129</v>
      </c>
      <c r="I124" s="5">
        <v>757935</v>
      </c>
      <c r="J124" s="5">
        <v>755521</v>
      </c>
      <c r="K124" s="5">
        <v>753531</v>
      </c>
      <c r="L124" s="5">
        <v>777142</v>
      </c>
      <c r="M124" s="51">
        <v>865240</v>
      </c>
      <c r="N124" s="52">
        <v>753280</v>
      </c>
    </row>
    <row r="125" spans="1:15" ht="19" customHeight="1">
      <c r="A125" s="2" t="s">
        <v>470</v>
      </c>
      <c r="N125" s="45"/>
    </row>
    <row r="126" spans="1:15" ht="19" customHeight="1">
      <c r="A126" s="3" t="s">
        <v>471</v>
      </c>
      <c r="B126" s="4">
        <v>-2159</v>
      </c>
      <c r="C126" s="4">
        <v>-2159</v>
      </c>
      <c r="D126" s="4">
        <v>-2159</v>
      </c>
      <c r="E126" s="4">
        <v>-2159</v>
      </c>
      <c r="F126" s="4">
        <v>-2159</v>
      </c>
      <c r="G126" s="4">
        <v>-2159</v>
      </c>
      <c r="H126" s="4">
        <v>-2159</v>
      </c>
      <c r="I126" s="4">
        <v>-2159</v>
      </c>
      <c r="J126" s="4">
        <v>-2159</v>
      </c>
      <c r="K126" s="4">
        <v>-2159</v>
      </c>
      <c r="L126" s="4">
        <v>-2159</v>
      </c>
      <c r="M126" s="48">
        <v>-2159</v>
      </c>
      <c r="N126" s="49">
        <v>-2159</v>
      </c>
      <c r="O126" s="59" t="s">
        <v>641</v>
      </c>
    </row>
    <row r="127" spans="1:15" ht="19" customHeight="1">
      <c r="A127" s="3" t="s">
        <v>666</v>
      </c>
      <c r="B127" s="4">
        <v>18074</v>
      </c>
      <c r="C127" s="4">
        <v>18074</v>
      </c>
      <c r="D127" s="4">
        <v>18074</v>
      </c>
      <c r="E127" s="4">
        <v>18074</v>
      </c>
      <c r="F127" s="4">
        <v>18074</v>
      </c>
      <c r="G127" s="4">
        <v>18074</v>
      </c>
      <c r="H127" s="4">
        <v>18074</v>
      </c>
      <c r="I127" s="4">
        <v>18074</v>
      </c>
      <c r="J127" s="4">
        <v>18074</v>
      </c>
      <c r="K127" s="4">
        <v>18074</v>
      </c>
      <c r="L127" s="4">
        <v>18074</v>
      </c>
      <c r="M127" s="48">
        <v>18074</v>
      </c>
      <c r="N127" s="49">
        <v>18074</v>
      </c>
      <c r="O127" s="59" t="s">
        <v>641</v>
      </c>
    </row>
    <row r="128" spans="1:15" ht="19" customHeight="1">
      <c r="A128" s="3" t="s">
        <v>472</v>
      </c>
      <c r="O128" s="59" t="s">
        <v>641</v>
      </c>
    </row>
    <row r="129" spans="1:15" ht="19" customHeight="1">
      <c r="A129" s="3" t="s">
        <v>473</v>
      </c>
      <c r="B129" s="4">
        <v>234217</v>
      </c>
      <c r="C129" s="4">
        <v>234217</v>
      </c>
      <c r="D129" s="4">
        <v>234217</v>
      </c>
      <c r="E129" s="4">
        <v>234217</v>
      </c>
      <c r="F129" s="4">
        <v>234217</v>
      </c>
      <c r="G129" s="4">
        <v>234217</v>
      </c>
      <c r="H129" s="4">
        <v>234217</v>
      </c>
      <c r="I129" s="4">
        <v>234217</v>
      </c>
      <c r="J129" s="4">
        <v>234217</v>
      </c>
      <c r="K129" s="4">
        <v>234217</v>
      </c>
      <c r="L129" s="4">
        <v>234217</v>
      </c>
      <c r="M129" s="48">
        <v>234217</v>
      </c>
      <c r="N129" s="49">
        <v>234217</v>
      </c>
      <c r="O129" s="59" t="s">
        <v>641</v>
      </c>
    </row>
    <row r="130" spans="1:15" ht="19" customHeight="1">
      <c r="A130" s="3" t="s">
        <v>474</v>
      </c>
      <c r="B130" s="4">
        <v>750</v>
      </c>
      <c r="C130" s="4">
        <v>750</v>
      </c>
      <c r="D130" s="4">
        <v>750</v>
      </c>
      <c r="E130" s="4">
        <v>750</v>
      </c>
      <c r="F130" s="4">
        <v>750</v>
      </c>
      <c r="G130" s="4">
        <v>750</v>
      </c>
      <c r="H130" s="4">
        <v>750</v>
      </c>
      <c r="I130" s="4">
        <v>750</v>
      </c>
      <c r="J130" s="4">
        <v>750</v>
      </c>
      <c r="K130" s="4">
        <v>750</v>
      </c>
      <c r="L130" s="4">
        <v>750</v>
      </c>
      <c r="M130" s="48">
        <v>750</v>
      </c>
      <c r="N130" s="49">
        <v>750</v>
      </c>
      <c r="O130" s="59" t="s">
        <v>641</v>
      </c>
    </row>
    <row r="131" spans="1:15" ht="19" customHeight="1">
      <c r="A131" s="3" t="s">
        <v>475</v>
      </c>
      <c r="O131" s="59" t="s">
        <v>641</v>
      </c>
    </row>
    <row r="132" spans="1:15" ht="19" customHeight="1">
      <c r="A132" s="3" t="s">
        <v>476</v>
      </c>
      <c r="B132" s="4">
        <v>-3668</v>
      </c>
      <c r="C132" s="4">
        <v>18949</v>
      </c>
      <c r="D132" s="4">
        <v>-8131</v>
      </c>
      <c r="E132" s="4">
        <v>15869</v>
      </c>
      <c r="F132" s="4">
        <v>-8664</v>
      </c>
      <c r="G132" s="4">
        <v>-7745</v>
      </c>
      <c r="H132" s="4">
        <v>-7766</v>
      </c>
      <c r="I132" s="4">
        <v>-8477</v>
      </c>
      <c r="J132" s="4">
        <v>-8088</v>
      </c>
      <c r="K132" s="4">
        <v>-8257</v>
      </c>
      <c r="L132" s="4">
        <v>-5662</v>
      </c>
      <c r="M132" s="48">
        <v>-4166</v>
      </c>
      <c r="N132" s="49">
        <v>0</v>
      </c>
      <c r="O132" s="59" t="s">
        <v>641</v>
      </c>
    </row>
    <row r="133" spans="1:15" ht="19" customHeight="1">
      <c r="A133" s="3" t="s">
        <v>477</v>
      </c>
      <c r="B133" s="4">
        <v>3399</v>
      </c>
      <c r="C133" s="4">
        <v>2549</v>
      </c>
      <c r="D133" s="4">
        <v>2124</v>
      </c>
      <c r="E133" s="4">
        <v>1699</v>
      </c>
      <c r="F133" s="4">
        <v>1274</v>
      </c>
      <c r="G133" s="4">
        <v>849</v>
      </c>
      <c r="H133" s="4">
        <v>424</v>
      </c>
      <c r="I133" s="4">
        <v>-1</v>
      </c>
      <c r="J133" s="4">
        <v>-426</v>
      </c>
      <c r="K133" s="4">
        <v>4802</v>
      </c>
      <c r="L133" s="4">
        <v>4377</v>
      </c>
      <c r="M133" s="48">
        <v>4377</v>
      </c>
      <c r="N133" s="49">
        <v>3824</v>
      </c>
      <c r="O133" s="59" t="s">
        <v>641</v>
      </c>
    </row>
    <row r="134" spans="1:15" ht="19" customHeight="1">
      <c r="A134" s="3" t="s">
        <v>478</v>
      </c>
      <c r="B134" s="4">
        <v>21252</v>
      </c>
      <c r="C134" s="4">
        <v>18410</v>
      </c>
      <c r="D134" s="4">
        <v>16989</v>
      </c>
      <c r="E134" s="4">
        <v>15568</v>
      </c>
      <c r="F134" s="4">
        <v>14147</v>
      </c>
      <c r="G134" s="4">
        <v>12726</v>
      </c>
      <c r="H134" s="4">
        <v>11305</v>
      </c>
      <c r="I134" s="4">
        <v>9884</v>
      </c>
      <c r="J134" s="4">
        <v>8463</v>
      </c>
      <c r="K134" s="4">
        <v>7042</v>
      </c>
      <c r="L134" s="4">
        <v>30973</v>
      </c>
      <c r="M134" s="48">
        <v>30973</v>
      </c>
      <c r="N134" s="49">
        <v>22673</v>
      </c>
      <c r="O134" s="59" t="s">
        <v>641</v>
      </c>
    </row>
    <row r="135" spans="1:15" ht="19" customHeight="1">
      <c r="A135" s="3" t="s">
        <v>479</v>
      </c>
      <c r="B135" s="4">
        <v>1487</v>
      </c>
      <c r="C135" s="4">
        <v>8691</v>
      </c>
      <c r="D135" s="4">
        <v>8479</v>
      </c>
      <c r="E135" s="4">
        <v>8267</v>
      </c>
      <c r="F135" s="4">
        <v>8055</v>
      </c>
      <c r="G135" s="4">
        <v>7843</v>
      </c>
      <c r="H135" s="4">
        <v>7631</v>
      </c>
      <c r="I135" s="4">
        <v>7419</v>
      </c>
      <c r="J135" s="4">
        <v>7207</v>
      </c>
      <c r="K135" s="4">
        <v>6995</v>
      </c>
      <c r="L135" s="4">
        <v>6783</v>
      </c>
      <c r="M135" s="48">
        <v>6783</v>
      </c>
      <c r="N135" s="49">
        <v>1699</v>
      </c>
      <c r="O135" s="59" t="s">
        <v>641</v>
      </c>
    </row>
    <row r="136" spans="1:15" ht="19" customHeight="1">
      <c r="A136" s="3" t="s">
        <v>480</v>
      </c>
      <c r="B136" s="4">
        <v>3619</v>
      </c>
      <c r="C136" s="4">
        <v>2805</v>
      </c>
      <c r="D136" s="4">
        <v>2398</v>
      </c>
      <c r="E136" s="4">
        <v>1991</v>
      </c>
      <c r="F136" s="4">
        <v>1584</v>
      </c>
      <c r="G136" s="4">
        <v>1177</v>
      </c>
      <c r="H136" s="4">
        <v>770</v>
      </c>
      <c r="I136" s="4">
        <v>363</v>
      </c>
      <c r="J136" s="4">
        <v>-44</v>
      </c>
      <c r="K136" s="4">
        <v>4611</v>
      </c>
      <c r="L136" s="4">
        <v>4204</v>
      </c>
      <c r="M136" s="48">
        <v>4204</v>
      </c>
      <c r="N136" s="49">
        <v>4026</v>
      </c>
      <c r="O136" s="59" t="s">
        <v>641</v>
      </c>
    </row>
    <row r="137" spans="1:15" ht="19" customHeight="1">
      <c r="A137" s="3" t="s">
        <v>481</v>
      </c>
      <c r="E137" s="4">
        <v>570</v>
      </c>
      <c r="F137" s="4">
        <v>570</v>
      </c>
      <c r="G137" s="4">
        <v>570</v>
      </c>
      <c r="H137" s="4">
        <v>570</v>
      </c>
      <c r="I137" s="4">
        <v>570</v>
      </c>
      <c r="J137" s="4">
        <v>570</v>
      </c>
      <c r="K137" s="4">
        <v>570</v>
      </c>
      <c r="L137" s="4">
        <v>724</v>
      </c>
      <c r="M137" s="48">
        <v>724</v>
      </c>
      <c r="O137" s="59" t="s">
        <v>641</v>
      </c>
    </row>
    <row r="138" spans="1:15" ht="19" customHeight="1">
      <c r="A138" s="3" t="s">
        <v>482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8">
        <v>0</v>
      </c>
      <c r="N138" s="49">
        <v>0</v>
      </c>
      <c r="O138" s="59" t="s">
        <v>641</v>
      </c>
    </row>
    <row r="139" spans="1:15" ht="19" customHeight="1">
      <c r="A139" s="3" t="s">
        <v>483</v>
      </c>
      <c r="B139" s="4">
        <v>4560</v>
      </c>
      <c r="C139" s="4">
        <v>3466</v>
      </c>
      <c r="D139" s="4">
        <v>4013</v>
      </c>
      <c r="E139" s="4">
        <v>16084</v>
      </c>
      <c r="F139" s="4">
        <v>14556</v>
      </c>
      <c r="G139" s="4">
        <v>13027</v>
      </c>
      <c r="H139" s="4">
        <v>11499</v>
      </c>
      <c r="I139" s="4">
        <v>9970</v>
      </c>
      <c r="J139" s="4">
        <v>8442</v>
      </c>
      <c r="K139" s="4">
        <v>-467</v>
      </c>
      <c r="L139" s="4">
        <v>-17321</v>
      </c>
      <c r="M139" s="48">
        <v>-14942</v>
      </c>
      <c r="N139" s="49">
        <v>4012</v>
      </c>
      <c r="O139" s="59" t="s">
        <v>641</v>
      </c>
    </row>
    <row r="140" spans="1:15" ht="19" customHeight="1">
      <c r="A140" s="3" t="s">
        <v>484</v>
      </c>
      <c r="B140" s="4">
        <v>8895</v>
      </c>
      <c r="C140" s="4">
        <v>8895</v>
      </c>
      <c r="D140" s="4">
        <v>8895</v>
      </c>
      <c r="E140" s="4">
        <v>8895</v>
      </c>
      <c r="F140" s="4">
        <v>8895</v>
      </c>
      <c r="G140" s="4">
        <v>8895</v>
      </c>
      <c r="H140" s="4">
        <v>8895</v>
      </c>
      <c r="I140" s="4">
        <v>23175</v>
      </c>
      <c r="J140" s="4">
        <v>23175</v>
      </c>
      <c r="K140" s="4">
        <v>23175</v>
      </c>
      <c r="L140" s="4">
        <v>23175</v>
      </c>
      <c r="M140" s="48">
        <v>145014</v>
      </c>
      <c r="N140" s="49">
        <v>311021</v>
      </c>
      <c r="O140" s="59" t="s">
        <v>641</v>
      </c>
    </row>
    <row r="141" spans="1:15" ht="19" customHeight="1">
      <c r="A141" s="3" t="s">
        <v>485</v>
      </c>
      <c r="O141" s="59" t="s">
        <v>641</v>
      </c>
    </row>
    <row r="142" spans="1:15" ht="19" customHeight="1">
      <c r="A142" s="3" t="s">
        <v>486</v>
      </c>
      <c r="B142" s="4">
        <v>164223</v>
      </c>
      <c r="C142" s="4">
        <v>164223</v>
      </c>
      <c r="D142" s="4">
        <v>164223</v>
      </c>
      <c r="E142" s="4">
        <v>164223</v>
      </c>
      <c r="F142" s="4">
        <v>164223</v>
      </c>
      <c r="G142" s="4">
        <v>164223</v>
      </c>
      <c r="H142" s="4">
        <v>164223</v>
      </c>
      <c r="I142" s="4">
        <v>29694</v>
      </c>
      <c r="J142" s="4">
        <v>106580</v>
      </c>
      <c r="K142" s="4">
        <v>106649</v>
      </c>
      <c r="L142" s="4">
        <v>106649</v>
      </c>
      <c r="M142" s="48">
        <v>30603</v>
      </c>
      <c r="N142" s="49">
        <v>164223</v>
      </c>
      <c r="O142" s="59" t="s">
        <v>641</v>
      </c>
    </row>
    <row r="143" spans="1:15" ht="19" customHeight="1">
      <c r="A143" s="3" t="s">
        <v>487</v>
      </c>
      <c r="O143" s="59" t="s">
        <v>641</v>
      </c>
    </row>
    <row r="144" spans="1:15" ht="19" customHeight="1">
      <c r="A144" s="2" t="s">
        <v>488</v>
      </c>
      <c r="B144" s="5">
        <v>454648</v>
      </c>
      <c r="C144" s="5">
        <v>478868</v>
      </c>
      <c r="D144" s="5">
        <v>449870</v>
      </c>
      <c r="E144" s="5">
        <v>484047</v>
      </c>
      <c r="F144" s="5">
        <v>455520</v>
      </c>
      <c r="G144" s="5">
        <v>452446</v>
      </c>
      <c r="H144" s="5">
        <v>448432</v>
      </c>
      <c r="I144" s="5">
        <v>323477</v>
      </c>
      <c r="J144" s="5">
        <v>396759</v>
      </c>
      <c r="K144" s="5">
        <v>396000</v>
      </c>
      <c r="L144" s="5">
        <v>404782</v>
      </c>
      <c r="M144" s="51">
        <v>454450</v>
      </c>
      <c r="N144" s="52">
        <v>762360</v>
      </c>
    </row>
    <row r="145" spans="1:14" ht="19" customHeight="1">
      <c r="A145" s="2" t="s">
        <v>489</v>
      </c>
      <c r="N145" s="45"/>
    </row>
    <row r="146" spans="1:14" ht="19" customHeight="1">
      <c r="A146" s="3" t="s">
        <v>490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8">
        <v>0</v>
      </c>
      <c r="N146" s="49">
        <v>0</v>
      </c>
    </row>
    <row r="147" spans="1:14" ht="19" customHeight="1">
      <c r="A147" s="2" t="s">
        <v>491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1">
        <v>0</v>
      </c>
      <c r="N147" s="52">
        <v>0</v>
      </c>
    </row>
    <row r="148" spans="1:14" ht="19" customHeight="1">
      <c r="A148" s="2" t="s">
        <v>492</v>
      </c>
      <c r="N148" s="45"/>
    </row>
    <row r="149" spans="1:14" ht="19" customHeight="1">
      <c r="A149" s="3" t="s">
        <v>493</v>
      </c>
      <c r="B149" s="4">
        <v>180620</v>
      </c>
      <c r="C149" s="4">
        <v>180620</v>
      </c>
      <c r="D149" s="4">
        <v>180620</v>
      </c>
      <c r="E149" s="4">
        <v>180620</v>
      </c>
      <c r="F149" s="4">
        <v>180620</v>
      </c>
      <c r="G149" s="4">
        <v>191441</v>
      </c>
      <c r="H149" s="4">
        <v>191441</v>
      </c>
      <c r="I149" s="4">
        <v>191441</v>
      </c>
      <c r="J149" s="4">
        <v>191441</v>
      </c>
      <c r="K149" s="4">
        <v>191441</v>
      </c>
      <c r="L149" s="4">
        <v>191441</v>
      </c>
      <c r="M149" s="48">
        <v>180620</v>
      </c>
      <c r="N149" s="49">
        <v>953340</v>
      </c>
    </row>
    <row r="150" spans="1:14" ht="19" customHeight="1">
      <c r="A150" s="3" t="s">
        <v>494</v>
      </c>
      <c r="B150" s="4">
        <v>-150661</v>
      </c>
      <c r="C150" s="4">
        <v>-165661</v>
      </c>
      <c r="D150" s="4">
        <v>-180661</v>
      </c>
      <c r="E150" s="4">
        <v>-195661</v>
      </c>
      <c r="F150" s="4">
        <v>-210661</v>
      </c>
      <c r="G150" s="4">
        <v>-225661</v>
      </c>
      <c r="H150" s="4">
        <v>-240661</v>
      </c>
      <c r="I150" s="4">
        <v>-198983</v>
      </c>
      <c r="J150" s="4">
        <v>-205712</v>
      </c>
      <c r="K150" s="4">
        <v>-216399</v>
      </c>
      <c r="L150" s="4">
        <v>-227100</v>
      </c>
      <c r="M150" s="48">
        <v>-137605</v>
      </c>
      <c r="N150" s="49">
        <v>-480699</v>
      </c>
    </row>
    <row r="151" spans="1:14" ht="19" customHeight="1">
      <c r="A151" s="3" t="s">
        <v>495</v>
      </c>
      <c r="B151" s="4">
        <v>345838</v>
      </c>
      <c r="C151" s="4">
        <v>345838</v>
      </c>
      <c r="D151" s="4">
        <v>345838</v>
      </c>
      <c r="E151" s="4">
        <v>345838</v>
      </c>
      <c r="F151" s="4">
        <v>345838</v>
      </c>
      <c r="G151" s="4">
        <v>345838</v>
      </c>
      <c r="H151" s="4">
        <v>345838</v>
      </c>
      <c r="I151" s="4">
        <v>345838</v>
      </c>
      <c r="J151" s="4">
        <v>345838</v>
      </c>
      <c r="K151" s="4">
        <v>345838</v>
      </c>
      <c r="L151" s="4">
        <v>345838</v>
      </c>
      <c r="M151" s="48">
        <v>345838</v>
      </c>
    </row>
    <row r="152" spans="1:14" ht="19" customHeight="1">
      <c r="A152" s="3" t="s">
        <v>496</v>
      </c>
      <c r="B152" s="4">
        <v>-94588</v>
      </c>
      <c r="C152" s="4">
        <v>-94588</v>
      </c>
      <c r="D152" s="4">
        <v>-94588</v>
      </c>
      <c r="E152" s="4">
        <v>-94588</v>
      </c>
      <c r="F152" s="4">
        <v>-94588</v>
      </c>
      <c r="G152" s="4">
        <v>-94588</v>
      </c>
      <c r="H152" s="4">
        <v>-94588</v>
      </c>
      <c r="I152" s="4">
        <v>-123641</v>
      </c>
      <c r="J152" s="4">
        <v>-126806</v>
      </c>
      <c r="K152" s="4">
        <v>-129867</v>
      </c>
      <c r="L152" s="4">
        <v>-133026</v>
      </c>
      <c r="M152" s="48">
        <v>-136076</v>
      </c>
    </row>
    <row r="153" spans="1:14" ht="19" customHeight="1">
      <c r="A153" s="3" t="s">
        <v>497</v>
      </c>
      <c r="B153" s="4">
        <v>162087</v>
      </c>
      <c r="C153" s="4">
        <v>162087</v>
      </c>
      <c r="D153" s="4">
        <v>162087</v>
      </c>
      <c r="E153" s="4">
        <v>162087</v>
      </c>
      <c r="F153" s="4">
        <v>162087</v>
      </c>
      <c r="G153" s="4">
        <v>162087</v>
      </c>
      <c r="H153" s="4">
        <v>162087</v>
      </c>
      <c r="I153" s="4">
        <v>162087</v>
      </c>
      <c r="J153" s="4">
        <v>162087</v>
      </c>
      <c r="K153" s="4">
        <v>164319</v>
      </c>
      <c r="L153" s="4">
        <v>167880</v>
      </c>
      <c r="M153" s="48">
        <v>175183</v>
      </c>
    </row>
    <row r="154" spans="1:14" ht="19" customHeight="1">
      <c r="A154" s="3" t="s">
        <v>498</v>
      </c>
      <c r="B154" s="4">
        <v>-115188</v>
      </c>
      <c r="C154" s="4">
        <v>-115188</v>
      </c>
      <c r="D154" s="4">
        <v>-115188</v>
      </c>
      <c r="E154" s="4">
        <v>-115188</v>
      </c>
      <c r="F154" s="4">
        <v>-115188</v>
      </c>
      <c r="G154" s="4">
        <v>-115188</v>
      </c>
      <c r="H154" s="4">
        <v>-115188</v>
      </c>
      <c r="I154" s="4">
        <v>-121216</v>
      </c>
      <c r="J154" s="4">
        <v>-121861</v>
      </c>
      <c r="K154" s="4">
        <v>-122626</v>
      </c>
      <c r="L154" s="4">
        <v>-123294</v>
      </c>
      <c r="M154" s="48">
        <v>-124739</v>
      </c>
    </row>
    <row r="155" spans="1:14" ht="19" customHeight="1">
      <c r="A155" s="3" t="s">
        <v>499</v>
      </c>
      <c r="B155" s="4">
        <v>87977</v>
      </c>
      <c r="C155" s="4">
        <v>87977</v>
      </c>
      <c r="D155" s="4">
        <v>87977</v>
      </c>
      <c r="E155" s="4">
        <v>87977</v>
      </c>
      <c r="F155" s="4">
        <v>87977</v>
      </c>
      <c r="G155" s="4">
        <v>87977</v>
      </c>
      <c r="H155" s="4">
        <v>87977</v>
      </c>
      <c r="I155" s="4">
        <v>87977</v>
      </c>
      <c r="J155" s="4">
        <v>87977</v>
      </c>
      <c r="K155" s="4">
        <v>87977</v>
      </c>
      <c r="L155" s="4">
        <v>87977</v>
      </c>
      <c r="M155" s="48">
        <v>89066</v>
      </c>
    </row>
    <row r="156" spans="1:14" ht="19" customHeight="1">
      <c r="A156" s="3" t="s">
        <v>500</v>
      </c>
      <c r="B156" s="4">
        <v>-47800</v>
      </c>
      <c r="C156" s="4">
        <v>-47800</v>
      </c>
      <c r="D156" s="4">
        <v>-47800</v>
      </c>
      <c r="E156" s="4">
        <v>-47800</v>
      </c>
      <c r="F156" s="4">
        <v>-47800</v>
      </c>
      <c r="G156" s="4">
        <v>-47800</v>
      </c>
      <c r="H156" s="4">
        <v>-47800</v>
      </c>
      <c r="I156" s="4">
        <v>-52823</v>
      </c>
      <c r="J156" s="4">
        <v>-53343</v>
      </c>
      <c r="K156" s="4">
        <v>-53845</v>
      </c>
      <c r="L156" s="4">
        <v>-54363</v>
      </c>
      <c r="M156" s="48">
        <v>-54919</v>
      </c>
    </row>
    <row r="157" spans="1:14" ht="19" customHeight="1">
      <c r="A157" s="3" t="s">
        <v>501</v>
      </c>
      <c r="B157" s="4">
        <v>279949</v>
      </c>
      <c r="C157" s="4">
        <v>279949</v>
      </c>
      <c r="D157" s="4">
        <v>279949</v>
      </c>
      <c r="E157" s="4">
        <v>279949</v>
      </c>
      <c r="F157" s="4">
        <v>279949</v>
      </c>
      <c r="G157" s="4">
        <v>279949</v>
      </c>
      <c r="H157" s="4">
        <v>279949</v>
      </c>
      <c r="I157" s="4">
        <v>279949</v>
      </c>
      <c r="J157" s="4">
        <v>279949</v>
      </c>
      <c r="K157" s="4">
        <v>287147</v>
      </c>
      <c r="L157" s="4">
        <v>290830</v>
      </c>
      <c r="M157" s="48">
        <v>291025</v>
      </c>
    </row>
    <row r="158" spans="1:14" ht="19" customHeight="1">
      <c r="A158" s="3" t="s">
        <v>502</v>
      </c>
      <c r="B158" s="4">
        <v>-178720</v>
      </c>
      <c r="C158" s="4">
        <v>-178720</v>
      </c>
      <c r="D158" s="4">
        <v>-178720</v>
      </c>
      <c r="E158" s="4">
        <v>-178720</v>
      </c>
      <c r="F158" s="4">
        <v>-178720</v>
      </c>
      <c r="G158" s="4">
        <v>-178720</v>
      </c>
      <c r="H158" s="4">
        <v>-178720</v>
      </c>
      <c r="I158" s="4">
        <v>-189762</v>
      </c>
      <c r="J158" s="4">
        <v>-191103</v>
      </c>
      <c r="K158" s="4">
        <v>-192957</v>
      </c>
      <c r="L158" s="4">
        <v>-194386</v>
      </c>
      <c r="M158" s="48">
        <v>-196103</v>
      </c>
    </row>
    <row r="159" spans="1:14" ht="19" customHeight="1">
      <c r="A159" s="3" t="s">
        <v>503</v>
      </c>
      <c r="C159" s="4">
        <v>1974</v>
      </c>
      <c r="D159" s="4">
        <v>13872</v>
      </c>
      <c r="E159" s="4">
        <v>13872</v>
      </c>
      <c r="F159" s="4">
        <v>28475</v>
      </c>
      <c r="G159" s="4">
        <v>28475</v>
      </c>
      <c r="H159" s="4">
        <v>41589</v>
      </c>
      <c r="I159" s="4">
        <v>97979</v>
      </c>
      <c r="J159" s="4">
        <v>104680</v>
      </c>
      <c r="K159" s="4">
        <v>126860</v>
      </c>
      <c r="L159" s="4">
        <v>117653</v>
      </c>
    </row>
    <row r="160" spans="1:14" ht="19" customHeight="1">
      <c r="A160" s="3" t="s">
        <v>504</v>
      </c>
      <c r="B160" s="4">
        <v>1417005</v>
      </c>
      <c r="C160" s="4">
        <v>1417005</v>
      </c>
      <c r="D160" s="4">
        <v>1417005</v>
      </c>
      <c r="E160" s="4">
        <v>1417005</v>
      </c>
      <c r="F160" s="4">
        <v>1417005</v>
      </c>
      <c r="G160" s="4">
        <v>1417005</v>
      </c>
      <c r="H160" s="4">
        <v>1417005</v>
      </c>
      <c r="I160" s="4">
        <v>1417005</v>
      </c>
      <c r="J160" s="4">
        <v>1417005</v>
      </c>
      <c r="K160" s="4">
        <v>1417005</v>
      </c>
      <c r="L160" s="4">
        <v>1417005</v>
      </c>
      <c r="M160" s="48">
        <v>1297005</v>
      </c>
      <c r="N160" s="49">
        <v>1417005</v>
      </c>
    </row>
    <row r="161" spans="1:20" ht="19" customHeight="1">
      <c r="A161" s="3" t="s">
        <v>505</v>
      </c>
      <c r="B161" s="4">
        <v>-305018</v>
      </c>
      <c r="C161" s="4">
        <v>-305018</v>
      </c>
      <c r="D161" s="4">
        <v>-305018</v>
      </c>
      <c r="E161" s="4">
        <v>-305018</v>
      </c>
      <c r="F161" s="4">
        <v>-305018</v>
      </c>
      <c r="G161" s="4">
        <v>-305018</v>
      </c>
      <c r="H161" s="4">
        <v>-305018</v>
      </c>
      <c r="I161" s="4">
        <v>-305018</v>
      </c>
      <c r="J161" s="4">
        <v>-305018</v>
      </c>
      <c r="K161" s="4">
        <v>-305018</v>
      </c>
      <c r="L161" s="4">
        <v>-305018</v>
      </c>
      <c r="M161" s="48">
        <v>-539581</v>
      </c>
      <c r="N161" s="49">
        <v>-305018</v>
      </c>
    </row>
    <row r="162" spans="1:20" ht="19" customHeight="1">
      <c r="A162" s="3" t="s">
        <v>667</v>
      </c>
      <c r="M162" s="48">
        <v>120000</v>
      </c>
      <c r="N162" s="49"/>
    </row>
    <row r="163" spans="1:20" ht="19" customHeight="1">
      <c r="A163" s="3" t="s">
        <v>668</v>
      </c>
      <c r="M163" s="48">
        <v>-48000</v>
      </c>
      <c r="N163" s="49"/>
    </row>
    <row r="164" spans="1:20" ht="19" customHeight="1">
      <c r="A164" s="2" t="s">
        <v>506</v>
      </c>
      <c r="B164" s="5">
        <v>1581501</v>
      </c>
      <c r="C164" s="5">
        <v>1568475</v>
      </c>
      <c r="D164" s="5">
        <v>1565373</v>
      </c>
      <c r="E164" s="5">
        <v>1550373</v>
      </c>
      <c r="F164" s="5">
        <v>1549976</v>
      </c>
      <c r="G164" s="5">
        <v>1545797</v>
      </c>
      <c r="H164" s="5">
        <v>1543911</v>
      </c>
      <c r="I164" s="5">
        <v>1590832</v>
      </c>
      <c r="J164" s="5">
        <v>1585133</v>
      </c>
      <c r="K164" s="5">
        <v>1599875</v>
      </c>
      <c r="L164" s="5">
        <v>1581436</v>
      </c>
      <c r="M164" s="51">
        <v>1261715</v>
      </c>
      <c r="N164" s="52">
        <v>1584628</v>
      </c>
    </row>
    <row r="165" spans="1:20" ht="19" customHeight="1">
      <c r="N165" s="45"/>
      <c r="T165">
        <f t="shared" ref="T165" si="3">IF(M165&lt;0,M165,)</f>
        <v>0</v>
      </c>
    </row>
    <row r="166" spans="1:20" ht="19" customHeight="1">
      <c r="A166" s="1" t="s">
        <v>507</v>
      </c>
      <c r="B166" s="11">
        <v>11813134</v>
      </c>
      <c r="C166" s="11">
        <v>11607977</v>
      </c>
      <c r="D166" s="11">
        <v>11285955</v>
      </c>
      <c r="E166" s="11">
        <v>11194036</v>
      </c>
      <c r="F166" s="11">
        <v>11234680</v>
      </c>
      <c r="G166" s="11">
        <v>11165578</v>
      </c>
      <c r="H166" s="11">
        <v>11559438</v>
      </c>
      <c r="I166" s="11">
        <v>11465003</v>
      </c>
      <c r="J166" s="11">
        <v>11578161</v>
      </c>
      <c r="K166" s="11">
        <v>10396619</v>
      </c>
      <c r="L166" s="11">
        <v>7600915</v>
      </c>
      <c r="M166" s="53">
        <v>6995061</v>
      </c>
      <c r="N166" s="54">
        <v>12929393</v>
      </c>
      <c r="O166" s="59" t="s">
        <v>643</v>
      </c>
    </row>
    <row r="167" spans="1:20" ht="19" customHeight="1">
      <c r="N167" s="45"/>
    </row>
    <row r="168" spans="1:20" ht="19" customHeight="1">
      <c r="A168" s="1" t="s">
        <v>508</v>
      </c>
      <c r="N168" s="45"/>
    </row>
    <row r="169" spans="1:20" ht="19" customHeight="1">
      <c r="A169" s="2" t="s">
        <v>509</v>
      </c>
      <c r="N169" s="45"/>
    </row>
    <row r="170" spans="1:20" ht="19" customHeight="1">
      <c r="A170" s="3" t="s">
        <v>510</v>
      </c>
      <c r="B170" s="4">
        <v>370179</v>
      </c>
      <c r="C170" s="4">
        <v>344606</v>
      </c>
      <c r="D170" s="4">
        <v>378029</v>
      </c>
      <c r="E170" s="4">
        <v>398613</v>
      </c>
      <c r="F170" s="4">
        <v>355070</v>
      </c>
      <c r="G170" s="4">
        <v>343721</v>
      </c>
      <c r="H170" s="4">
        <v>371413</v>
      </c>
      <c r="I170" s="4">
        <v>368166</v>
      </c>
      <c r="J170" s="4">
        <v>351092</v>
      </c>
      <c r="K170" s="4">
        <v>374899</v>
      </c>
      <c r="L170" s="4">
        <v>365271</v>
      </c>
      <c r="M170" s="48">
        <v>416509</v>
      </c>
      <c r="N170" s="49">
        <v>371774</v>
      </c>
    </row>
    <row r="171" spans="1:20" ht="19" customHeight="1">
      <c r="A171" s="3" t="s">
        <v>511</v>
      </c>
      <c r="M171" s="48">
        <v>121839</v>
      </c>
      <c r="N171" s="49">
        <v>302126</v>
      </c>
    </row>
    <row r="172" spans="1:20" ht="19" customHeight="1">
      <c r="A172" s="3" t="s">
        <v>512</v>
      </c>
      <c r="B172" s="4">
        <v>-108262</v>
      </c>
      <c r="C172" s="4">
        <v>-50755</v>
      </c>
      <c r="D172" s="4">
        <v>-101892</v>
      </c>
      <c r="E172" s="4">
        <v>-25726</v>
      </c>
      <c r="F172" s="4">
        <v>-82713</v>
      </c>
      <c r="G172" s="4">
        <v>-87245</v>
      </c>
      <c r="H172" s="4">
        <v>-91507</v>
      </c>
      <c r="I172" s="4">
        <v>98120</v>
      </c>
      <c r="J172" s="4">
        <v>10544</v>
      </c>
      <c r="K172" s="4">
        <v>30354</v>
      </c>
      <c r="L172" s="4">
        <v>-107607</v>
      </c>
      <c r="M172" s="48">
        <v>-5664</v>
      </c>
      <c r="N172" s="49">
        <v>-42195</v>
      </c>
    </row>
    <row r="173" spans="1:20" ht="19" customHeight="1">
      <c r="A173" s="3" t="s">
        <v>513</v>
      </c>
      <c r="B173" s="4">
        <v>281002</v>
      </c>
      <c r="C173" s="4">
        <v>-142655</v>
      </c>
      <c r="D173" s="4">
        <v>-231338</v>
      </c>
      <c r="E173" s="4">
        <v>-148068</v>
      </c>
      <c r="F173" s="4">
        <v>-191512</v>
      </c>
      <c r="G173" s="4">
        <v>-15507</v>
      </c>
      <c r="H173" s="4">
        <v>115954</v>
      </c>
      <c r="I173" s="4">
        <v>-131271</v>
      </c>
      <c r="J173" s="4">
        <v>-212597</v>
      </c>
      <c r="K173" s="4">
        <v>-123247</v>
      </c>
      <c r="L173" s="4">
        <v>130908</v>
      </c>
      <c r="M173" s="48">
        <v>62786</v>
      </c>
      <c r="N173" s="49">
        <v>-92609</v>
      </c>
    </row>
    <row r="174" spans="1:20" ht="19" customHeight="1">
      <c r="A174" s="3" t="s">
        <v>514</v>
      </c>
      <c r="B174" s="4">
        <v>19676</v>
      </c>
      <c r="C174" s="4">
        <v>12254</v>
      </c>
      <c r="D174" s="4">
        <v>29240</v>
      </c>
      <c r="E174" s="4">
        <v>14917</v>
      </c>
      <c r="F174" s="4">
        <v>1588</v>
      </c>
      <c r="G174" s="4">
        <v>1884</v>
      </c>
      <c r="H174" s="4">
        <v>12794</v>
      </c>
      <c r="I174" s="4">
        <v>40206</v>
      </c>
      <c r="J174" s="4">
        <v>9960</v>
      </c>
      <c r="K174" s="4">
        <v>14053</v>
      </c>
      <c r="L174" s="4">
        <v>19685</v>
      </c>
      <c r="M174" s="48">
        <v>14961</v>
      </c>
      <c r="N174" s="49">
        <v>27959</v>
      </c>
    </row>
    <row r="175" spans="1:20" ht="19" customHeight="1">
      <c r="A175" s="3" t="s">
        <v>515</v>
      </c>
      <c r="B175" s="4">
        <v>59141</v>
      </c>
      <c r="C175" s="4">
        <v>52216</v>
      </c>
      <c r="D175" s="4">
        <v>52759</v>
      </c>
      <c r="E175" s="4">
        <v>53089</v>
      </c>
      <c r="F175" s="4">
        <v>52924</v>
      </c>
      <c r="G175" s="4">
        <v>52925</v>
      </c>
      <c r="H175" s="4">
        <v>52924</v>
      </c>
      <c r="I175" s="4">
        <v>52927</v>
      </c>
      <c r="J175" s="4">
        <v>54460</v>
      </c>
      <c r="K175" s="4">
        <v>53426</v>
      </c>
      <c r="L175" s="4">
        <v>52924</v>
      </c>
      <c r="M175" s="48">
        <v>52922</v>
      </c>
      <c r="N175" s="49">
        <v>52218</v>
      </c>
    </row>
    <row r="176" spans="1:20" ht="19" customHeight="1">
      <c r="A176" s="3" t="s">
        <v>516</v>
      </c>
    </row>
    <row r="177" spans="1:15" ht="19" customHeight="1">
      <c r="A177" s="3" t="s">
        <v>517</v>
      </c>
      <c r="D177" s="4">
        <v>293</v>
      </c>
      <c r="E177" s="4">
        <v>2144</v>
      </c>
    </row>
    <row r="178" spans="1:15" ht="19" customHeight="1">
      <c r="A178" s="3" t="s">
        <v>518</v>
      </c>
    </row>
    <row r="179" spans="1:15" ht="19" customHeight="1">
      <c r="A179" s="3" t="s">
        <v>519</v>
      </c>
    </row>
    <row r="180" spans="1:15" ht="19" customHeight="1">
      <c r="A180" s="3" t="s">
        <v>520</v>
      </c>
    </row>
    <row r="181" spans="1:15" ht="19" customHeight="1">
      <c r="A181" s="3" t="s">
        <v>521</v>
      </c>
      <c r="B181" s="4">
        <v>-10554</v>
      </c>
      <c r="C181" s="4">
        <v>-10554</v>
      </c>
      <c r="D181" s="4">
        <v>-10554</v>
      </c>
      <c r="E181" s="4">
        <v>-10554</v>
      </c>
      <c r="F181" s="4">
        <v>-10554</v>
      </c>
      <c r="G181" s="4">
        <v>-10554</v>
      </c>
      <c r="H181" s="4">
        <v>-10554</v>
      </c>
      <c r="I181" s="4">
        <v>-10554</v>
      </c>
      <c r="J181" s="4">
        <v>-10554</v>
      </c>
      <c r="K181" s="4">
        <v>-10554</v>
      </c>
      <c r="L181" s="4">
        <v>-10554</v>
      </c>
      <c r="M181" s="48">
        <v>567</v>
      </c>
      <c r="N181" s="49">
        <v>-10554</v>
      </c>
    </row>
    <row r="182" spans="1:15" ht="19" customHeight="1">
      <c r="A182" s="3" t="s">
        <v>522</v>
      </c>
    </row>
    <row r="183" spans="1:15" ht="19" customHeight="1">
      <c r="A183" s="3" t="s">
        <v>523</v>
      </c>
    </row>
    <row r="184" spans="1:15" ht="19" customHeight="1">
      <c r="A184" s="3" t="s">
        <v>524</v>
      </c>
    </row>
    <row r="185" spans="1:15" ht="19" customHeight="1">
      <c r="A185" s="3" t="s">
        <v>525</v>
      </c>
    </row>
    <row r="186" spans="1:15" ht="19" customHeight="1">
      <c r="A186" s="3" t="s">
        <v>526</v>
      </c>
    </row>
    <row r="187" spans="1:15" ht="19" customHeight="1">
      <c r="A187" s="3" t="s">
        <v>527</v>
      </c>
    </row>
    <row r="188" spans="1:15" ht="19" customHeight="1">
      <c r="A188" s="2" t="s">
        <v>528</v>
      </c>
      <c r="B188" s="5">
        <v>611183</v>
      </c>
      <c r="C188" s="5">
        <v>205113</v>
      </c>
      <c r="D188" s="5">
        <v>116538</v>
      </c>
      <c r="E188" s="5">
        <v>284414</v>
      </c>
      <c r="F188" s="5">
        <v>124803</v>
      </c>
      <c r="G188" s="5">
        <v>285223</v>
      </c>
      <c r="H188" s="5">
        <v>451025</v>
      </c>
      <c r="I188" s="5">
        <v>417594</v>
      </c>
      <c r="J188" s="5">
        <v>202905</v>
      </c>
      <c r="K188" s="5">
        <v>338931</v>
      </c>
      <c r="L188" s="5">
        <v>450628</v>
      </c>
      <c r="M188" s="51">
        <v>663920</v>
      </c>
      <c r="N188" s="52">
        <v>608719</v>
      </c>
      <c r="O188" s="59" t="s">
        <v>332</v>
      </c>
    </row>
    <row r="189" spans="1:15" ht="19" customHeight="1">
      <c r="A189" s="2" t="s">
        <v>529</v>
      </c>
      <c r="N189" s="45"/>
    </row>
    <row r="190" spans="1:15" ht="19" customHeight="1">
      <c r="A190" s="3" t="s">
        <v>530</v>
      </c>
      <c r="B190" s="4">
        <v>40355</v>
      </c>
      <c r="C190" s="4">
        <v>61465</v>
      </c>
      <c r="D190" s="4">
        <v>81235</v>
      </c>
      <c r="E190" s="4">
        <v>41524</v>
      </c>
      <c r="F190" s="4">
        <v>61689</v>
      </c>
      <c r="G190" s="4">
        <v>81753</v>
      </c>
      <c r="H190" s="4">
        <v>40265</v>
      </c>
      <c r="I190" s="4">
        <v>60769</v>
      </c>
      <c r="J190" s="4">
        <v>80835</v>
      </c>
      <c r="K190" s="4">
        <v>39983</v>
      </c>
      <c r="L190" s="4">
        <v>61440</v>
      </c>
      <c r="M190" s="48">
        <v>62537</v>
      </c>
      <c r="N190" s="49">
        <v>79998</v>
      </c>
    </row>
    <row r="191" spans="1:15" ht="19" customHeight="1">
      <c r="A191" s="3" t="s">
        <v>531</v>
      </c>
      <c r="B191" s="4">
        <v>6125</v>
      </c>
      <c r="C191" s="4">
        <v>6125</v>
      </c>
      <c r="D191" s="4">
        <v>6125</v>
      </c>
      <c r="E191" s="4">
        <v>6125</v>
      </c>
      <c r="F191" s="4">
        <v>6125</v>
      </c>
      <c r="G191" s="4">
        <v>6125</v>
      </c>
      <c r="H191" s="4">
        <v>6125</v>
      </c>
      <c r="I191" s="4">
        <v>6125</v>
      </c>
      <c r="J191" s="4">
        <v>6125</v>
      </c>
      <c r="K191" s="4">
        <v>6125</v>
      </c>
      <c r="L191" s="4">
        <v>6125</v>
      </c>
      <c r="M191" s="48">
        <v>3190</v>
      </c>
      <c r="N191" s="49">
        <v>6125</v>
      </c>
    </row>
    <row r="192" spans="1:15" ht="19" customHeight="1">
      <c r="A192" s="3" t="s">
        <v>532</v>
      </c>
      <c r="B192" s="4">
        <v>74973</v>
      </c>
      <c r="C192" s="4">
        <v>75377</v>
      </c>
      <c r="D192" s="4">
        <v>75781</v>
      </c>
      <c r="E192" s="4">
        <v>77883</v>
      </c>
      <c r="F192" s="4">
        <v>78293</v>
      </c>
      <c r="G192" s="4">
        <v>78703</v>
      </c>
      <c r="H192" s="4">
        <v>79113</v>
      </c>
      <c r="I192" s="4">
        <v>79522</v>
      </c>
      <c r="J192" s="4">
        <v>78989</v>
      </c>
      <c r="K192" s="4">
        <v>75155</v>
      </c>
      <c r="L192" s="4">
        <v>75565</v>
      </c>
      <c r="M192" s="48">
        <v>121620</v>
      </c>
      <c r="N192" s="49">
        <v>74569</v>
      </c>
    </row>
    <row r="193" spans="1:20" ht="19" customHeight="1">
      <c r="A193" s="3" t="s">
        <v>533</v>
      </c>
      <c r="B193" s="4">
        <v>7718</v>
      </c>
      <c r="C193" s="4">
        <v>9443</v>
      </c>
      <c r="D193" s="4">
        <v>6711</v>
      </c>
      <c r="E193" s="4">
        <v>7561</v>
      </c>
      <c r="F193" s="4">
        <v>6927</v>
      </c>
      <c r="G193" s="4">
        <v>6725</v>
      </c>
      <c r="H193" s="4">
        <v>6952</v>
      </c>
      <c r="I193" s="4">
        <v>6751</v>
      </c>
      <c r="J193" s="4">
        <v>6753</v>
      </c>
      <c r="K193" s="4">
        <v>7817</v>
      </c>
      <c r="L193" s="4">
        <v>7913</v>
      </c>
      <c r="M193" s="48">
        <v>8277</v>
      </c>
      <c r="N193" s="49">
        <v>13558</v>
      </c>
    </row>
    <row r="194" spans="1:20" ht="19" customHeight="1">
      <c r="A194" s="3" t="s">
        <v>534</v>
      </c>
      <c r="B194" s="4">
        <v>2726</v>
      </c>
      <c r="C194" s="4">
        <v>2726</v>
      </c>
      <c r="D194" s="4">
        <v>2726</v>
      </c>
      <c r="E194" s="4">
        <v>2726</v>
      </c>
      <c r="F194" s="4">
        <v>2726</v>
      </c>
      <c r="G194" s="4">
        <v>2726</v>
      </c>
      <c r="H194" s="4">
        <v>2726</v>
      </c>
      <c r="I194" s="4">
        <v>2726</v>
      </c>
      <c r="J194" s="4">
        <v>2725</v>
      </c>
      <c r="K194" s="4">
        <v>2725</v>
      </c>
      <c r="L194" s="4">
        <v>-3966</v>
      </c>
      <c r="M194" s="48">
        <v>0</v>
      </c>
      <c r="N194" s="49">
        <v>2726</v>
      </c>
    </row>
    <row r="195" spans="1:20" ht="19" customHeight="1">
      <c r="A195" s="3" t="s">
        <v>535</v>
      </c>
      <c r="B195" s="4">
        <v>120883</v>
      </c>
      <c r="C195" s="4">
        <v>93775</v>
      </c>
      <c r="D195" s="4">
        <v>89191</v>
      </c>
      <c r="E195" s="4">
        <v>99060</v>
      </c>
      <c r="F195" s="4">
        <v>110138</v>
      </c>
      <c r="G195" s="4">
        <v>104725</v>
      </c>
      <c r="H195" s="4">
        <v>85445</v>
      </c>
      <c r="I195" s="4">
        <v>88660</v>
      </c>
      <c r="J195" s="4">
        <v>100001</v>
      </c>
      <c r="K195" s="4">
        <v>101934</v>
      </c>
      <c r="L195" s="4">
        <v>100444</v>
      </c>
      <c r="M195" s="48">
        <v>164630</v>
      </c>
      <c r="N195" s="49">
        <v>117436</v>
      </c>
    </row>
    <row r="196" spans="1:20" ht="19" customHeight="1">
      <c r="A196" s="2" t="s">
        <v>536</v>
      </c>
      <c r="B196" s="5">
        <v>252779</v>
      </c>
      <c r="C196" s="5">
        <v>248911</v>
      </c>
      <c r="D196" s="5">
        <v>261769</v>
      </c>
      <c r="E196" s="5">
        <v>234879</v>
      </c>
      <c r="F196" s="5">
        <v>265898</v>
      </c>
      <c r="G196" s="5">
        <v>280757</v>
      </c>
      <c r="H196" s="5">
        <v>220626</v>
      </c>
      <c r="I196" s="5">
        <v>244554</v>
      </c>
      <c r="J196" s="5">
        <v>275429</v>
      </c>
      <c r="K196" s="5">
        <v>233740</v>
      </c>
      <c r="L196" s="5">
        <v>247521</v>
      </c>
      <c r="M196" s="51">
        <v>360254</v>
      </c>
      <c r="N196" s="52">
        <v>294411</v>
      </c>
    </row>
    <row r="197" spans="1:20" ht="19" customHeight="1">
      <c r="A197" s="2" t="s">
        <v>537</v>
      </c>
      <c r="N197" s="45"/>
    </row>
    <row r="198" spans="1:20" ht="19" customHeight="1">
      <c r="A198" s="3" t="s">
        <v>538</v>
      </c>
      <c r="B198" s="4">
        <v>1290162</v>
      </c>
      <c r="C198" s="4">
        <v>1320634</v>
      </c>
      <c r="D198" s="4">
        <v>1320634</v>
      </c>
      <c r="E198" s="4">
        <v>1320634</v>
      </c>
      <c r="F198" s="4">
        <v>1300086</v>
      </c>
      <c r="G198" s="4">
        <v>1300086</v>
      </c>
      <c r="H198" s="4">
        <v>1700086</v>
      </c>
      <c r="I198" s="4">
        <v>1700086</v>
      </c>
      <c r="J198" s="4">
        <v>1700086</v>
      </c>
      <c r="K198" s="4">
        <v>1500086</v>
      </c>
      <c r="L198" s="4">
        <v>1250086</v>
      </c>
      <c r="M198" s="48">
        <v>1250086</v>
      </c>
      <c r="N198" s="49">
        <v>2000000</v>
      </c>
      <c r="T198">
        <f>IF(M198&lt;0,M198,0)</f>
        <v>0</v>
      </c>
    </row>
    <row r="199" spans="1:20" ht="19" customHeight="1">
      <c r="A199" s="3" t="s">
        <v>539</v>
      </c>
      <c r="T199">
        <f t="shared" ref="T199:T262" si="4">IF(M199&lt;0,M199,0)</f>
        <v>0</v>
      </c>
    </row>
    <row r="200" spans="1:20" ht="19" customHeight="1">
      <c r="A200" s="3" t="s">
        <v>540</v>
      </c>
      <c r="B200" s="4">
        <v>-28</v>
      </c>
      <c r="C200" s="4">
        <v>-28</v>
      </c>
      <c r="D200" s="4">
        <v>-28</v>
      </c>
      <c r="E200" s="4">
        <v>-28</v>
      </c>
      <c r="F200" s="4">
        <v>-28</v>
      </c>
      <c r="G200" s="4">
        <v>-28</v>
      </c>
      <c r="H200" s="4">
        <v>-28</v>
      </c>
      <c r="I200" s="4">
        <v>-28</v>
      </c>
      <c r="J200" s="4">
        <v>-28</v>
      </c>
      <c r="K200" s="4">
        <v>-28</v>
      </c>
      <c r="L200" s="4">
        <v>-28</v>
      </c>
      <c r="M200" s="48">
        <v>-28</v>
      </c>
      <c r="N200" s="49">
        <v>-28</v>
      </c>
      <c r="T200">
        <f t="shared" si="4"/>
        <v>-28</v>
      </c>
    </row>
    <row r="201" spans="1:20" ht="19" customHeight="1">
      <c r="A201" s="3" t="s">
        <v>541</v>
      </c>
      <c r="T201">
        <f t="shared" si="4"/>
        <v>0</v>
      </c>
    </row>
    <row r="202" spans="1:20" ht="19" customHeight="1">
      <c r="A202" s="3" t="s">
        <v>542</v>
      </c>
      <c r="B202" s="4">
        <v>-10906</v>
      </c>
      <c r="C202" s="4">
        <v>-12588</v>
      </c>
      <c r="D202" s="4">
        <v>-9954</v>
      </c>
      <c r="E202" s="4">
        <v>-13655</v>
      </c>
      <c r="F202" s="4">
        <v>-21432</v>
      </c>
      <c r="G202" s="4">
        <v>-22117</v>
      </c>
      <c r="H202" s="4">
        <v>-24169</v>
      </c>
      <c r="I202" s="4">
        <v>-22384</v>
      </c>
      <c r="J202" s="4">
        <v>-21883</v>
      </c>
      <c r="K202" s="4">
        <v>-30335</v>
      </c>
      <c r="L202" s="4">
        <v>-31117</v>
      </c>
      <c r="M202" s="48">
        <v>-12196</v>
      </c>
      <c r="N202" s="49">
        <v>-14479</v>
      </c>
      <c r="T202">
        <f t="shared" si="4"/>
        <v>-12196</v>
      </c>
    </row>
    <row r="203" spans="1:20" ht="19" customHeight="1">
      <c r="A203" s="3" t="s">
        <v>543</v>
      </c>
      <c r="B203" s="4">
        <v>3749</v>
      </c>
      <c r="C203" s="4">
        <v>2883</v>
      </c>
      <c r="D203" s="4">
        <v>-10</v>
      </c>
      <c r="E203" s="4">
        <v>-2840</v>
      </c>
      <c r="F203" s="4">
        <v>6598</v>
      </c>
      <c r="G203" s="4">
        <v>5348</v>
      </c>
      <c r="H203" s="4">
        <v>3617</v>
      </c>
      <c r="I203" s="4">
        <v>-91</v>
      </c>
      <c r="J203" s="4">
        <v>-1543</v>
      </c>
      <c r="K203" s="4">
        <v>-3106</v>
      </c>
      <c r="L203" s="4">
        <v>-3106</v>
      </c>
      <c r="M203" s="48">
        <v>-3106</v>
      </c>
      <c r="N203" s="49">
        <v>19015</v>
      </c>
      <c r="T203">
        <f t="shared" si="4"/>
        <v>-3106</v>
      </c>
    </row>
    <row r="204" spans="1:20" ht="19" customHeight="1">
      <c r="A204" s="3" t="s">
        <v>544</v>
      </c>
      <c r="B204" s="4">
        <v>3076</v>
      </c>
      <c r="C204" s="4">
        <v>3384</v>
      </c>
      <c r="D204" s="4">
        <v>3384</v>
      </c>
      <c r="E204" s="4">
        <v>3730</v>
      </c>
      <c r="F204" s="4">
        <v>3418</v>
      </c>
      <c r="G204" s="4">
        <v>4866</v>
      </c>
      <c r="H204" s="4">
        <v>4866</v>
      </c>
      <c r="I204" s="4">
        <v>4560</v>
      </c>
      <c r="J204" s="4">
        <v>4636</v>
      </c>
      <c r="K204" s="4">
        <v>2002</v>
      </c>
      <c r="L204" s="4">
        <v>1436</v>
      </c>
      <c r="M204" s="48">
        <v>1036</v>
      </c>
      <c r="N204" s="49">
        <v>3751</v>
      </c>
      <c r="T204">
        <f t="shared" si="4"/>
        <v>0</v>
      </c>
    </row>
    <row r="205" spans="1:20" ht="19" customHeight="1">
      <c r="A205" s="3" t="s">
        <v>545</v>
      </c>
      <c r="B205" s="4">
        <v>-11916</v>
      </c>
      <c r="C205" s="4">
        <v>-11916</v>
      </c>
      <c r="D205" s="4">
        <v>-11916</v>
      </c>
      <c r="E205" s="4">
        <v>-13799</v>
      </c>
      <c r="F205" s="4">
        <v>-11912</v>
      </c>
      <c r="G205" s="4">
        <v>-11807</v>
      </c>
      <c r="H205" s="4">
        <v>-11986</v>
      </c>
      <c r="I205" s="4">
        <v>-11986</v>
      </c>
      <c r="J205" s="4">
        <v>-11986</v>
      </c>
      <c r="K205" s="4">
        <v>-11986</v>
      </c>
      <c r="L205" s="4">
        <v>-28079</v>
      </c>
      <c r="M205" s="48">
        <v>7023</v>
      </c>
      <c r="N205" s="49">
        <v>-10961</v>
      </c>
      <c r="T205">
        <f t="shared" si="4"/>
        <v>0</v>
      </c>
    </row>
    <row r="206" spans="1:20" ht="19" customHeight="1">
      <c r="A206" s="3" t="s">
        <v>546</v>
      </c>
      <c r="B206" s="4">
        <v>-11981</v>
      </c>
      <c r="C206" s="4">
        <v>-11981</v>
      </c>
      <c r="D206" s="4">
        <v>-11981</v>
      </c>
      <c r="E206" s="4">
        <v>-12027</v>
      </c>
      <c r="F206" s="4">
        <v>-12027</v>
      </c>
      <c r="G206" s="4">
        <v>-10311</v>
      </c>
      <c r="H206" s="4">
        <v>-10311</v>
      </c>
      <c r="I206" s="4">
        <v>-10918</v>
      </c>
      <c r="J206" s="4">
        <v>-10918</v>
      </c>
      <c r="K206" s="4">
        <v>-10918</v>
      </c>
      <c r="L206" s="4">
        <v>-12098</v>
      </c>
      <c r="M206" s="48">
        <v>-7020</v>
      </c>
      <c r="N206" s="49">
        <v>-11563</v>
      </c>
      <c r="T206">
        <f t="shared" si="4"/>
        <v>-7020</v>
      </c>
    </row>
    <row r="207" spans="1:20" ht="19" customHeight="1">
      <c r="A207" s="3" t="s">
        <v>547</v>
      </c>
      <c r="T207">
        <f t="shared" si="4"/>
        <v>0</v>
      </c>
    </row>
    <row r="208" spans="1:20" ht="19" customHeight="1">
      <c r="A208" s="3" t="s">
        <v>548</v>
      </c>
      <c r="B208" s="4">
        <v>-82</v>
      </c>
      <c r="C208" s="4">
        <v>-82</v>
      </c>
      <c r="D208" s="4">
        <v>-82</v>
      </c>
      <c r="E208" s="4">
        <v>-82</v>
      </c>
      <c r="F208" s="4">
        <v>-82</v>
      </c>
      <c r="G208" s="4">
        <v>818</v>
      </c>
      <c r="H208" s="4">
        <v>818</v>
      </c>
      <c r="I208" s="4">
        <v>818</v>
      </c>
      <c r="J208" s="4">
        <v>818</v>
      </c>
      <c r="K208" s="4">
        <v>-82</v>
      </c>
      <c r="L208" s="4">
        <v>-82</v>
      </c>
      <c r="M208" s="48">
        <v>-82</v>
      </c>
      <c r="N208" s="49">
        <v>-82</v>
      </c>
      <c r="T208">
        <f t="shared" si="4"/>
        <v>-82</v>
      </c>
    </row>
    <row r="209" spans="1:20" ht="19" customHeight="1">
      <c r="A209" s="3" t="s">
        <v>549</v>
      </c>
      <c r="T209">
        <f t="shared" si="4"/>
        <v>0</v>
      </c>
    </row>
    <row r="210" spans="1:20" ht="19" customHeight="1">
      <c r="A210" s="3" t="s">
        <v>550</v>
      </c>
      <c r="B210" s="4">
        <v>175</v>
      </c>
      <c r="C210" s="4">
        <v>175</v>
      </c>
      <c r="D210" s="4">
        <v>175</v>
      </c>
      <c r="E210" s="4">
        <v>175</v>
      </c>
      <c r="F210" s="4">
        <v>175</v>
      </c>
      <c r="G210" s="4">
        <v>175</v>
      </c>
      <c r="H210" s="4">
        <v>175</v>
      </c>
      <c r="I210" s="4">
        <v>175</v>
      </c>
      <c r="J210" s="4">
        <v>175</v>
      </c>
      <c r="K210" s="4">
        <v>175</v>
      </c>
      <c r="L210" s="4">
        <v>175</v>
      </c>
      <c r="M210" s="48">
        <v>175</v>
      </c>
      <c r="N210" s="49">
        <v>175</v>
      </c>
      <c r="T210">
        <f t="shared" si="4"/>
        <v>0</v>
      </c>
    </row>
    <row r="211" spans="1:20" ht="19" customHeight="1">
      <c r="A211" s="3" t="s">
        <v>551</v>
      </c>
      <c r="B211" s="4">
        <v>18198</v>
      </c>
      <c r="C211" s="4">
        <v>15151</v>
      </c>
      <c r="D211" s="4">
        <v>15711</v>
      </c>
      <c r="E211" s="4">
        <v>15962</v>
      </c>
      <c r="F211" s="4">
        <v>15962</v>
      </c>
      <c r="G211" s="4">
        <v>15841</v>
      </c>
      <c r="H211" s="4">
        <v>15855</v>
      </c>
      <c r="I211" s="4">
        <v>15555</v>
      </c>
      <c r="J211" s="4">
        <v>14655</v>
      </c>
      <c r="K211" s="4">
        <v>14767</v>
      </c>
      <c r="L211" s="4">
        <v>15197</v>
      </c>
      <c r="M211" s="48">
        <v>-279432</v>
      </c>
      <c r="N211" s="49">
        <v>-47249</v>
      </c>
      <c r="T211">
        <f t="shared" si="4"/>
        <v>-279432</v>
      </c>
    </row>
    <row r="212" spans="1:20" ht="19" customHeight="1">
      <c r="A212" s="3" t="s">
        <v>552</v>
      </c>
      <c r="B212" s="4">
        <v>1636</v>
      </c>
      <c r="C212" s="4">
        <v>7837</v>
      </c>
      <c r="D212" s="4">
        <v>1905</v>
      </c>
      <c r="E212" s="4">
        <v>1604</v>
      </c>
      <c r="F212" s="4">
        <v>1420</v>
      </c>
      <c r="G212" s="4">
        <v>1420</v>
      </c>
      <c r="H212" s="4">
        <v>1973</v>
      </c>
      <c r="I212" s="4">
        <v>4020</v>
      </c>
      <c r="J212" s="4">
        <v>1737</v>
      </c>
      <c r="K212" s="4">
        <v>3334</v>
      </c>
      <c r="L212" s="4">
        <v>483</v>
      </c>
      <c r="M212" s="48">
        <v>-19</v>
      </c>
      <c r="N212" s="49">
        <v>2162</v>
      </c>
      <c r="T212">
        <f t="shared" si="4"/>
        <v>-19</v>
      </c>
    </row>
    <row r="213" spans="1:20" ht="19" customHeight="1">
      <c r="A213" s="3" t="s">
        <v>553</v>
      </c>
      <c r="B213" s="4">
        <v>-793</v>
      </c>
      <c r="C213" s="4">
        <v>-639</v>
      </c>
      <c r="D213" s="4">
        <v>522</v>
      </c>
      <c r="E213" s="4">
        <v>521</v>
      </c>
      <c r="F213" s="4">
        <v>-793</v>
      </c>
      <c r="G213" s="4">
        <v>-793</v>
      </c>
      <c r="H213" s="4">
        <v>-5</v>
      </c>
      <c r="I213" s="4">
        <v>-793</v>
      </c>
      <c r="J213" s="4">
        <v>-774</v>
      </c>
      <c r="K213" s="4">
        <v>-378</v>
      </c>
      <c r="L213" s="4">
        <v>-378</v>
      </c>
      <c r="M213" s="48">
        <v>3558</v>
      </c>
      <c r="N213" s="49">
        <v>9522</v>
      </c>
      <c r="T213">
        <f t="shared" si="4"/>
        <v>0</v>
      </c>
    </row>
    <row r="214" spans="1:20" ht="19" customHeight="1">
      <c r="A214" s="3" t="s">
        <v>554</v>
      </c>
      <c r="B214" s="4">
        <v>1894</v>
      </c>
      <c r="C214" s="4">
        <v>1894</v>
      </c>
      <c r="D214" s="4">
        <v>1894</v>
      </c>
      <c r="E214" s="4">
        <v>1894</v>
      </c>
      <c r="F214" s="4">
        <v>1894</v>
      </c>
      <c r="G214" s="4">
        <v>1894</v>
      </c>
      <c r="H214" s="4">
        <v>3121</v>
      </c>
      <c r="I214" s="4">
        <v>1928</v>
      </c>
      <c r="J214" s="4">
        <v>2994</v>
      </c>
      <c r="K214" s="4">
        <v>1928</v>
      </c>
      <c r="L214" s="4">
        <v>1079</v>
      </c>
      <c r="M214" s="48">
        <v>3551</v>
      </c>
      <c r="N214" s="49">
        <v>6916</v>
      </c>
      <c r="T214">
        <f t="shared" si="4"/>
        <v>0</v>
      </c>
    </row>
    <row r="215" spans="1:20" ht="19" customHeight="1">
      <c r="A215" s="3" t="s">
        <v>555</v>
      </c>
      <c r="B215" s="4">
        <v>7374</v>
      </c>
      <c r="C215" s="4">
        <v>1628</v>
      </c>
      <c r="D215" s="4">
        <v>9487</v>
      </c>
      <c r="E215" s="4">
        <v>2067</v>
      </c>
      <c r="F215" s="4">
        <v>3137</v>
      </c>
      <c r="G215" s="4">
        <v>6659</v>
      </c>
      <c r="H215" s="4">
        <v>1703</v>
      </c>
      <c r="I215" s="4">
        <v>1619</v>
      </c>
      <c r="J215" s="4">
        <v>14827</v>
      </c>
      <c r="K215" s="4">
        <v>1516</v>
      </c>
      <c r="L215" s="4">
        <v>19521</v>
      </c>
      <c r="M215" s="48">
        <v>4914</v>
      </c>
      <c r="N215" s="49">
        <v>5717</v>
      </c>
      <c r="T215">
        <f t="shared" si="4"/>
        <v>0</v>
      </c>
    </row>
    <row r="216" spans="1:20" ht="19" customHeight="1">
      <c r="A216" s="3" t="s">
        <v>556</v>
      </c>
      <c r="B216" s="4">
        <v>465</v>
      </c>
      <c r="C216" s="4">
        <v>8</v>
      </c>
      <c r="D216" s="4">
        <v>8</v>
      </c>
      <c r="E216" s="4">
        <v>8</v>
      </c>
      <c r="F216" s="4">
        <v>8</v>
      </c>
      <c r="G216" s="4">
        <v>8</v>
      </c>
      <c r="H216" s="4">
        <v>8</v>
      </c>
      <c r="I216" s="4">
        <v>8</v>
      </c>
      <c r="J216" s="4">
        <v>8</v>
      </c>
      <c r="K216" s="4">
        <v>8</v>
      </c>
      <c r="L216" s="4">
        <v>8</v>
      </c>
      <c r="M216" s="48">
        <v>18683</v>
      </c>
      <c r="N216" s="49">
        <v>27</v>
      </c>
      <c r="T216">
        <f t="shared" si="4"/>
        <v>0</v>
      </c>
    </row>
    <row r="217" spans="1:20" ht="19" customHeight="1">
      <c r="A217" s="3" t="s">
        <v>557</v>
      </c>
      <c r="T217">
        <f t="shared" si="4"/>
        <v>0</v>
      </c>
    </row>
    <row r="218" spans="1:20" ht="19" customHeight="1">
      <c r="A218" s="3" t="s">
        <v>558</v>
      </c>
      <c r="J218" s="4">
        <v>27758</v>
      </c>
      <c r="K218" s="4">
        <v>30351</v>
      </c>
      <c r="L218" s="4">
        <v>33453</v>
      </c>
      <c r="M218" s="48">
        <v>34038</v>
      </c>
      <c r="T218">
        <f t="shared" si="4"/>
        <v>0</v>
      </c>
    </row>
    <row r="219" spans="1:20" ht="19" customHeight="1">
      <c r="A219" s="3" t="s">
        <v>559</v>
      </c>
      <c r="B219" s="4">
        <v>49227</v>
      </c>
      <c r="C219" s="4">
        <v>49227</v>
      </c>
      <c r="D219" s="4">
        <v>36969</v>
      </c>
      <c r="E219" s="4">
        <v>11824</v>
      </c>
      <c r="F219" s="4">
        <v>31024</v>
      </c>
      <c r="G219" s="4">
        <v>36408</v>
      </c>
      <c r="H219" s="4">
        <v>36408</v>
      </c>
      <c r="I219" s="4">
        <v>49561</v>
      </c>
      <c r="J219" s="4">
        <v>53497</v>
      </c>
      <c r="K219" s="4">
        <v>44911</v>
      </c>
      <c r="L219" s="4">
        <v>32098</v>
      </c>
      <c r="M219" s="48">
        <v>38497</v>
      </c>
      <c r="N219" s="49">
        <v>49238</v>
      </c>
      <c r="T219">
        <f t="shared" si="4"/>
        <v>0</v>
      </c>
    </row>
    <row r="220" spans="1:20" ht="19" customHeight="1">
      <c r="A220" s="3" t="s">
        <v>560</v>
      </c>
      <c r="B220" s="4">
        <v>200000</v>
      </c>
      <c r="C220" s="4">
        <v>200000</v>
      </c>
      <c r="D220" s="4">
        <v>200000</v>
      </c>
      <c r="E220" s="4">
        <v>200000</v>
      </c>
      <c r="F220" s="4">
        <v>200000</v>
      </c>
      <c r="G220" s="4">
        <v>200000</v>
      </c>
      <c r="H220" s="4">
        <v>200000</v>
      </c>
      <c r="I220" s="4">
        <v>200000</v>
      </c>
      <c r="J220" s="4">
        <v>200000</v>
      </c>
      <c r="K220" s="4">
        <v>200000</v>
      </c>
      <c r="L220" s="4">
        <v>200000</v>
      </c>
      <c r="M220" s="48">
        <v>200000</v>
      </c>
      <c r="N220" s="49">
        <v>200000</v>
      </c>
      <c r="T220">
        <f t="shared" si="4"/>
        <v>0</v>
      </c>
    </row>
    <row r="221" spans="1:20" ht="19" customHeight="1">
      <c r="A221" s="3" t="s">
        <v>669</v>
      </c>
      <c r="L221" s="4">
        <v>0</v>
      </c>
      <c r="M221" s="48">
        <v>0</v>
      </c>
      <c r="N221" s="49"/>
      <c r="T221">
        <f t="shared" si="4"/>
        <v>0</v>
      </c>
    </row>
    <row r="222" spans="1:20" ht="19" customHeight="1">
      <c r="A222" s="3" t="s">
        <v>561</v>
      </c>
      <c r="B222" s="4">
        <v>-1646</v>
      </c>
      <c r="C222" s="4">
        <v>-1646</v>
      </c>
      <c r="D222" s="4">
        <v>-1646</v>
      </c>
      <c r="E222" s="4">
        <v>-1646</v>
      </c>
      <c r="F222" s="4">
        <v>-1646</v>
      </c>
      <c r="G222" s="4">
        <v>-1646</v>
      </c>
      <c r="H222" s="4">
        <v>-1646</v>
      </c>
      <c r="I222" s="4">
        <v>-1646</v>
      </c>
      <c r="J222" s="4">
        <v>-1646</v>
      </c>
      <c r="K222" s="4">
        <v>-1646</v>
      </c>
      <c r="L222" s="4">
        <v>-1646</v>
      </c>
      <c r="M222" s="48">
        <v>-1646</v>
      </c>
      <c r="N222" s="49">
        <v>-1646</v>
      </c>
      <c r="T222">
        <f t="shared" si="4"/>
        <v>-1646</v>
      </c>
    </row>
    <row r="223" spans="1:20" ht="19" customHeight="1">
      <c r="A223" s="3" t="s">
        <v>562</v>
      </c>
      <c r="B223" s="4">
        <v>4166</v>
      </c>
      <c r="C223" s="4">
        <v>4166</v>
      </c>
      <c r="D223" s="4">
        <v>4166</v>
      </c>
      <c r="E223" s="4">
        <v>4166</v>
      </c>
      <c r="F223" s="4">
        <v>4166</v>
      </c>
      <c r="G223" s="4">
        <v>4166</v>
      </c>
      <c r="H223" s="4">
        <v>4166</v>
      </c>
      <c r="I223" s="4">
        <v>4166</v>
      </c>
      <c r="J223" s="4">
        <v>4166</v>
      </c>
      <c r="K223" s="4">
        <v>4166</v>
      </c>
      <c r="L223" s="4">
        <v>4166</v>
      </c>
      <c r="M223" s="48">
        <v>4166</v>
      </c>
      <c r="N223" s="49">
        <v>4166</v>
      </c>
      <c r="T223">
        <f t="shared" si="4"/>
        <v>0</v>
      </c>
    </row>
    <row r="224" spans="1:20" ht="19" customHeight="1">
      <c r="A224" s="3" t="s">
        <v>563</v>
      </c>
      <c r="B224" s="4">
        <v>2300</v>
      </c>
      <c r="C224" s="4">
        <v>2300</v>
      </c>
      <c r="D224" s="4">
        <v>2300</v>
      </c>
      <c r="E224" s="4">
        <v>2300</v>
      </c>
      <c r="F224" s="4">
        <v>2300</v>
      </c>
      <c r="G224" s="4">
        <v>2300</v>
      </c>
      <c r="H224" s="4">
        <v>2300</v>
      </c>
      <c r="I224" s="4">
        <v>2300</v>
      </c>
      <c r="J224" s="4">
        <v>2300</v>
      </c>
      <c r="K224" s="4">
        <v>2300</v>
      </c>
      <c r="L224" s="4">
        <v>2300</v>
      </c>
      <c r="M224" s="48">
        <v>2300</v>
      </c>
      <c r="N224" s="49">
        <v>2300</v>
      </c>
      <c r="T224">
        <f t="shared" si="4"/>
        <v>0</v>
      </c>
    </row>
    <row r="225" spans="1:20" ht="19" customHeight="1">
      <c r="A225" s="3" t="s">
        <v>564</v>
      </c>
      <c r="B225" s="4">
        <v>-5472</v>
      </c>
      <c r="C225" s="4">
        <v>-48136</v>
      </c>
      <c r="D225" s="4">
        <v>-5687</v>
      </c>
      <c r="E225" s="4">
        <v>-7071</v>
      </c>
      <c r="F225" s="4">
        <v>-7607</v>
      </c>
      <c r="G225" s="4">
        <v>-10570</v>
      </c>
      <c r="H225" s="4">
        <v>-35529</v>
      </c>
      <c r="I225" s="4">
        <v>-57024</v>
      </c>
      <c r="J225" s="4">
        <v>7213</v>
      </c>
      <c r="K225" s="4">
        <v>6380</v>
      </c>
      <c r="L225" s="4">
        <v>9979</v>
      </c>
      <c r="M225" s="48">
        <v>10801</v>
      </c>
      <c r="N225" s="49">
        <v>1228</v>
      </c>
      <c r="T225">
        <f t="shared" si="4"/>
        <v>0</v>
      </c>
    </row>
    <row r="226" spans="1:20" ht="19" customHeight="1">
      <c r="A226" s="3" t="s">
        <v>670</v>
      </c>
      <c r="N226" s="49"/>
      <c r="T226">
        <f t="shared" si="4"/>
        <v>0</v>
      </c>
    </row>
    <row r="227" spans="1:20" ht="19" customHeight="1">
      <c r="A227" s="3" t="s">
        <v>565</v>
      </c>
      <c r="T227">
        <f t="shared" si="4"/>
        <v>0</v>
      </c>
    </row>
    <row r="228" spans="1:20" ht="19" customHeight="1">
      <c r="A228" s="2" t="s">
        <v>566</v>
      </c>
      <c r="B228" s="5">
        <v>1539599</v>
      </c>
      <c r="C228" s="5">
        <v>1522272</v>
      </c>
      <c r="D228" s="5">
        <v>1555850</v>
      </c>
      <c r="E228" s="5">
        <v>1513736</v>
      </c>
      <c r="F228" s="5">
        <v>1514662</v>
      </c>
      <c r="G228" s="5">
        <v>1522718</v>
      </c>
      <c r="H228" s="5">
        <v>1891421</v>
      </c>
      <c r="I228" s="5">
        <v>1879927</v>
      </c>
      <c r="J228" s="5">
        <v>1986093</v>
      </c>
      <c r="K228" s="5">
        <v>1753445</v>
      </c>
      <c r="L228" s="5">
        <v>1493447</v>
      </c>
      <c r="M228" s="51">
        <v>1275298</v>
      </c>
      <c r="N228" s="52">
        <v>2218210</v>
      </c>
      <c r="T228">
        <f t="shared" si="4"/>
        <v>0</v>
      </c>
    </row>
    <row r="229" spans="1:20" ht="19" customHeight="1">
      <c r="A229" s="2" t="s">
        <v>567</v>
      </c>
      <c r="N229" s="45"/>
      <c r="T229">
        <f t="shared" si="4"/>
        <v>0</v>
      </c>
    </row>
    <row r="230" spans="1:20" ht="19" customHeight="1">
      <c r="A230" s="3" t="s">
        <v>568</v>
      </c>
      <c r="B230" s="4">
        <v>1441114</v>
      </c>
      <c r="C230" s="4">
        <v>1438439</v>
      </c>
      <c r="D230" s="4">
        <v>1484751</v>
      </c>
      <c r="E230" s="4">
        <v>1537774</v>
      </c>
      <c r="F230" s="4">
        <v>1623065</v>
      </c>
      <c r="G230" s="4">
        <v>1654010</v>
      </c>
      <c r="H230" s="4">
        <v>1696177</v>
      </c>
      <c r="I230" s="4">
        <v>1690938</v>
      </c>
      <c r="J230" s="4">
        <v>1773034</v>
      </c>
      <c r="K230" s="4">
        <v>1843869</v>
      </c>
      <c r="L230" s="4">
        <v>1806919</v>
      </c>
      <c r="M230" s="48">
        <v>1822577</v>
      </c>
      <c r="N230" s="49">
        <v>1402558</v>
      </c>
      <c r="T230">
        <f t="shared" si="4"/>
        <v>0</v>
      </c>
    </row>
    <row r="231" spans="1:20" ht="19" customHeight="1">
      <c r="A231" s="3" t="s">
        <v>569</v>
      </c>
      <c r="T231">
        <f t="shared" si="4"/>
        <v>0</v>
      </c>
    </row>
    <row r="232" spans="1:20" ht="19" customHeight="1">
      <c r="A232" s="3" t="s">
        <v>570</v>
      </c>
      <c r="B232" s="4">
        <v>-969173</v>
      </c>
      <c r="C232" s="4">
        <v>-982079</v>
      </c>
      <c r="D232" s="4">
        <v>-982079</v>
      </c>
      <c r="E232" s="4">
        <v>-1035411</v>
      </c>
      <c r="F232" s="4">
        <v>-1037441</v>
      </c>
      <c r="G232" s="4">
        <v>-1037441</v>
      </c>
      <c r="H232" s="4">
        <v>-1040950</v>
      </c>
      <c r="I232" s="4">
        <v>-1132631</v>
      </c>
      <c r="J232" s="4">
        <v>-1136958</v>
      </c>
      <c r="K232" s="4">
        <v>-1258996</v>
      </c>
      <c r="L232" s="4">
        <v>-1261580</v>
      </c>
      <c r="M232" s="48">
        <v>-1261580</v>
      </c>
      <c r="N232" s="49">
        <v>-968420</v>
      </c>
      <c r="T232">
        <f t="shared" si="4"/>
        <v>-1261580</v>
      </c>
    </row>
    <row r="233" spans="1:20" ht="19" customHeight="1">
      <c r="A233" s="3" t="s">
        <v>571</v>
      </c>
      <c r="B233" s="4">
        <v>3050</v>
      </c>
      <c r="C233" s="4">
        <v>4500</v>
      </c>
      <c r="D233" s="4">
        <v>5170</v>
      </c>
      <c r="E233" s="4">
        <v>1287</v>
      </c>
      <c r="F233" s="4">
        <v>4781</v>
      </c>
      <c r="G233" s="4">
        <v>6844</v>
      </c>
      <c r="H233" s="4">
        <v>7265</v>
      </c>
      <c r="I233" s="4">
        <v>8401</v>
      </c>
      <c r="J233" s="4">
        <v>9537</v>
      </c>
      <c r="K233" s="4">
        <v>10515</v>
      </c>
      <c r="L233" s="4">
        <v>1450</v>
      </c>
      <c r="M233" s="48">
        <v>2079</v>
      </c>
      <c r="N233" s="49">
        <v>1978</v>
      </c>
      <c r="T233">
        <f t="shared" si="4"/>
        <v>0</v>
      </c>
    </row>
    <row r="234" spans="1:20" ht="19" customHeight="1">
      <c r="A234" s="3" t="s">
        <v>572</v>
      </c>
      <c r="B234" s="4">
        <v>58</v>
      </c>
      <c r="C234" s="4">
        <v>58</v>
      </c>
      <c r="D234" s="4">
        <v>58</v>
      </c>
      <c r="E234" s="4">
        <v>732</v>
      </c>
      <c r="F234" s="4">
        <v>8281</v>
      </c>
      <c r="G234" s="4">
        <v>10410</v>
      </c>
      <c r="H234" s="4">
        <v>11806</v>
      </c>
      <c r="I234" s="4">
        <v>13684</v>
      </c>
      <c r="J234" s="4">
        <v>15634</v>
      </c>
      <c r="K234" s="4">
        <v>17211</v>
      </c>
      <c r="L234" s="4">
        <v>21902</v>
      </c>
      <c r="M234" s="48">
        <v>25120</v>
      </c>
      <c r="N234" s="49">
        <v>58</v>
      </c>
      <c r="T234">
        <f t="shared" si="4"/>
        <v>0</v>
      </c>
    </row>
    <row r="235" spans="1:20" ht="19" customHeight="1">
      <c r="A235" s="3" t="s">
        <v>573</v>
      </c>
      <c r="B235" s="4">
        <v>-179616</v>
      </c>
      <c r="C235" s="4">
        <v>-230699</v>
      </c>
      <c r="D235" s="4">
        <v>-230699</v>
      </c>
      <c r="E235" s="4">
        <v>-230927</v>
      </c>
      <c r="F235" s="4">
        <v>-254231</v>
      </c>
      <c r="G235" s="4">
        <v>-254231</v>
      </c>
      <c r="H235" s="4">
        <v>-265583</v>
      </c>
      <c r="I235" s="4">
        <v>-265583</v>
      </c>
      <c r="J235" s="4">
        <v>-265583</v>
      </c>
      <c r="K235" s="4">
        <v>-344602</v>
      </c>
      <c r="L235" s="4">
        <v>-344602</v>
      </c>
      <c r="M235" s="48">
        <v>-344602</v>
      </c>
      <c r="N235" s="49">
        <v>-179616</v>
      </c>
      <c r="T235">
        <f t="shared" si="4"/>
        <v>-344602</v>
      </c>
    </row>
    <row r="236" spans="1:20" ht="19" customHeight="1">
      <c r="A236" s="3" t="s">
        <v>574</v>
      </c>
      <c r="T236">
        <f t="shared" si="4"/>
        <v>0</v>
      </c>
    </row>
    <row r="237" spans="1:20" ht="19" customHeight="1">
      <c r="A237" s="3" t="s">
        <v>575</v>
      </c>
      <c r="T237">
        <f t="shared" si="4"/>
        <v>0</v>
      </c>
    </row>
    <row r="238" spans="1:20" ht="19" customHeight="1">
      <c r="A238" s="3" t="s">
        <v>576</v>
      </c>
      <c r="T238">
        <f t="shared" si="4"/>
        <v>0</v>
      </c>
    </row>
    <row r="239" spans="1:20" ht="19" customHeight="1">
      <c r="A239" s="3" t="s">
        <v>577</v>
      </c>
      <c r="T239">
        <f t="shared" si="4"/>
        <v>0</v>
      </c>
    </row>
    <row r="240" spans="1:20" ht="19" customHeight="1">
      <c r="A240" s="3" t="s">
        <v>578</v>
      </c>
      <c r="T240">
        <f t="shared" si="4"/>
        <v>0</v>
      </c>
    </row>
    <row r="241" spans="1:20" ht="19" customHeight="1">
      <c r="A241" s="3" t="s">
        <v>579</v>
      </c>
      <c r="T241">
        <f t="shared" si="4"/>
        <v>0</v>
      </c>
    </row>
    <row r="242" spans="1:20" ht="19" customHeight="1">
      <c r="A242" s="3" t="s">
        <v>580</v>
      </c>
      <c r="B242" s="4">
        <v>22398</v>
      </c>
      <c r="C242" s="4">
        <v>85399</v>
      </c>
      <c r="D242" s="4">
        <v>54507</v>
      </c>
      <c r="E242" s="4">
        <v>22191</v>
      </c>
      <c r="F242" s="4">
        <v>102549</v>
      </c>
      <c r="G242" s="4">
        <v>78635</v>
      </c>
      <c r="H242" s="4">
        <v>22942</v>
      </c>
      <c r="I242" s="4">
        <v>66402</v>
      </c>
      <c r="J242" s="4">
        <v>43556</v>
      </c>
      <c r="K242" s="4">
        <v>18669</v>
      </c>
      <c r="L242" s="4">
        <v>70980</v>
      </c>
      <c r="M242" s="48">
        <v>51599</v>
      </c>
      <c r="N242" s="49">
        <v>75322</v>
      </c>
      <c r="T242">
        <f t="shared" si="4"/>
        <v>0</v>
      </c>
    </row>
    <row r="243" spans="1:20" ht="19" customHeight="1">
      <c r="A243" s="3" t="s">
        <v>581</v>
      </c>
      <c r="T243">
        <f t="shared" si="4"/>
        <v>0</v>
      </c>
    </row>
    <row r="244" spans="1:20" ht="19" customHeight="1">
      <c r="A244" s="3" t="s">
        <v>582</v>
      </c>
      <c r="B244" s="4">
        <v>-133590</v>
      </c>
      <c r="C244" s="4">
        <v>-35858</v>
      </c>
      <c r="D244" s="4">
        <v>-60689</v>
      </c>
      <c r="E244" s="4">
        <v>56933</v>
      </c>
      <c r="F244" s="4">
        <v>59870</v>
      </c>
      <c r="G244" s="4">
        <v>49700</v>
      </c>
      <c r="H244" s="4">
        <v>71190</v>
      </c>
      <c r="I244" s="4">
        <v>-53947</v>
      </c>
      <c r="J244" s="4">
        <v>-103499</v>
      </c>
      <c r="K244" s="4">
        <v>24565</v>
      </c>
      <c r="L244" s="4">
        <v>72449</v>
      </c>
      <c r="M244" s="48">
        <v>-44866</v>
      </c>
      <c r="N244" s="49">
        <v>-132207</v>
      </c>
      <c r="T244">
        <f t="shared" si="4"/>
        <v>-44866</v>
      </c>
    </row>
    <row r="245" spans="1:20" ht="19" customHeight="1">
      <c r="A245" s="3" t="s">
        <v>583</v>
      </c>
      <c r="B245" s="4">
        <v>-1634</v>
      </c>
      <c r="C245" s="4">
        <v>-1679</v>
      </c>
      <c r="D245" s="4">
        <v>-2610</v>
      </c>
      <c r="E245" s="4">
        <v>-875</v>
      </c>
      <c r="F245" s="4">
        <v>-1645</v>
      </c>
      <c r="G245" s="4">
        <v>-2020</v>
      </c>
      <c r="H245" s="4">
        <v>-2975</v>
      </c>
      <c r="I245" s="4">
        <v>-3009</v>
      </c>
      <c r="J245" s="4">
        <v>-3350</v>
      </c>
      <c r="K245" s="4">
        <v>-3312</v>
      </c>
      <c r="L245" s="4">
        <v>-74</v>
      </c>
      <c r="M245" s="48">
        <v>-246</v>
      </c>
      <c r="N245" s="49">
        <v>-465</v>
      </c>
      <c r="T245">
        <f t="shared" si="4"/>
        <v>-246</v>
      </c>
    </row>
    <row r="246" spans="1:20" ht="19" customHeight="1">
      <c r="A246" s="3" t="s">
        <v>584</v>
      </c>
      <c r="T246">
        <f t="shared" si="4"/>
        <v>0</v>
      </c>
    </row>
    <row r="247" spans="1:20" ht="19" customHeight="1">
      <c r="A247" s="3" t="s">
        <v>585</v>
      </c>
      <c r="B247" s="4">
        <v>-160426</v>
      </c>
      <c r="C247" s="4">
        <v>-161440</v>
      </c>
      <c r="D247" s="4">
        <v>-169144</v>
      </c>
      <c r="E247" s="4">
        <v>-169880</v>
      </c>
      <c r="F247" s="4">
        <v>-171404</v>
      </c>
      <c r="G247" s="4">
        <v>-171404</v>
      </c>
      <c r="H247" s="4">
        <v>-170955</v>
      </c>
      <c r="I247" s="4">
        <v>-170955</v>
      </c>
      <c r="J247" s="4">
        <v>-170955</v>
      </c>
      <c r="K247" s="4">
        <v>-169112</v>
      </c>
      <c r="L247" s="4">
        <v>-169112</v>
      </c>
      <c r="M247" s="48">
        <v>-170441</v>
      </c>
      <c r="N247" s="49">
        <v>-156882</v>
      </c>
      <c r="T247">
        <f t="shared" si="4"/>
        <v>-170441</v>
      </c>
    </row>
    <row r="248" spans="1:20" ht="19" customHeight="1">
      <c r="A248" s="3" t="s">
        <v>586</v>
      </c>
      <c r="T248">
        <f t="shared" si="4"/>
        <v>0</v>
      </c>
    </row>
    <row r="249" spans="1:20" ht="19" customHeight="1">
      <c r="A249" s="3" t="s">
        <v>587</v>
      </c>
      <c r="B249" s="4">
        <v>3343</v>
      </c>
      <c r="C249" s="4">
        <v>3343</v>
      </c>
      <c r="D249" s="4">
        <v>3343</v>
      </c>
      <c r="E249" s="4">
        <v>3343</v>
      </c>
      <c r="F249" s="4">
        <v>3343</v>
      </c>
      <c r="G249" s="4">
        <v>3343</v>
      </c>
      <c r="H249" s="4">
        <v>3343</v>
      </c>
      <c r="I249" s="4">
        <v>3343</v>
      </c>
      <c r="J249" s="4">
        <v>3343</v>
      </c>
      <c r="K249" s="4">
        <v>3343</v>
      </c>
      <c r="L249" s="4">
        <v>3343</v>
      </c>
      <c r="M249" s="48">
        <v>3343</v>
      </c>
      <c r="N249" s="49">
        <v>3343</v>
      </c>
      <c r="T249">
        <f t="shared" si="4"/>
        <v>0</v>
      </c>
    </row>
    <row r="250" spans="1:20" ht="19" customHeight="1">
      <c r="A250" s="3" t="s">
        <v>588</v>
      </c>
      <c r="T250">
        <f t="shared" si="4"/>
        <v>0</v>
      </c>
    </row>
    <row r="251" spans="1:20" ht="19" customHeight="1">
      <c r="A251" s="3" t="s">
        <v>589</v>
      </c>
      <c r="T251">
        <f t="shared" si="4"/>
        <v>0</v>
      </c>
    </row>
    <row r="252" spans="1:20" ht="19" customHeight="1">
      <c r="A252" s="3" t="s">
        <v>590</v>
      </c>
      <c r="T252">
        <f t="shared" si="4"/>
        <v>0</v>
      </c>
    </row>
    <row r="253" spans="1:20" ht="19" customHeight="1">
      <c r="A253" s="3" t="s">
        <v>591</v>
      </c>
      <c r="T253">
        <f t="shared" si="4"/>
        <v>0</v>
      </c>
    </row>
    <row r="254" spans="1:20" ht="19" customHeight="1">
      <c r="A254" s="3" t="s">
        <v>592</v>
      </c>
      <c r="B254" s="4">
        <v>39513</v>
      </c>
      <c r="C254" s="4">
        <v>38905</v>
      </c>
      <c r="D254" s="4">
        <v>-11310</v>
      </c>
      <c r="E254" s="4">
        <v>41893</v>
      </c>
      <c r="F254" s="4">
        <v>-10291</v>
      </c>
      <c r="G254" s="4">
        <v>-10333</v>
      </c>
      <c r="H254" s="4">
        <v>38562</v>
      </c>
      <c r="I254" s="4">
        <v>-9038</v>
      </c>
      <c r="J254" s="4">
        <v>-9239</v>
      </c>
      <c r="K254" s="4">
        <v>39825</v>
      </c>
      <c r="L254" s="4">
        <v>-4036</v>
      </c>
      <c r="M254" s="48">
        <v>-6904</v>
      </c>
      <c r="N254" s="49">
        <v>-4745</v>
      </c>
      <c r="T254">
        <f t="shared" si="4"/>
        <v>-6904</v>
      </c>
    </row>
    <row r="255" spans="1:20" ht="19" customHeight="1">
      <c r="A255" s="3" t="s">
        <v>593</v>
      </c>
      <c r="B255" s="4">
        <v>-3755</v>
      </c>
      <c r="C255" s="4">
        <v>-7699</v>
      </c>
      <c r="D255" s="4">
        <v>-3638</v>
      </c>
      <c r="E255" s="4">
        <v>1950</v>
      </c>
      <c r="F255" s="4">
        <v>-3707</v>
      </c>
      <c r="G255" s="4">
        <v>-3402</v>
      </c>
      <c r="H255" s="4">
        <v>-5720</v>
      </c>
      <c r="I255" s="4">
        <v>-5722</v>
      </c>
      <c r="J255" s="4">
        <v>-7963</v>
      </c>
      <c r="K255" s="4">
        <v>-5378</v>
      </c>
      <c r="L255" s="4">
        <v>-5022</v>
      </c>
      <c r="M255" s="48">
        <v>-5040</v>
      </c>
      <c r="N255" s="49">
        <v>-3943</v>
      </c>
      <c r="T255">
        <f t="shared" si="4"/>
        <v>-5040</v>
      </c>
    </row>
    <row r="256" spans="1:20" ht="19" customHeight="1">
      <c r="A256" s="3" t="s">
        <v>594</v>
      </c>
      <c r="B256" s="4">
        <v>25641</v>
      </c>
      <c r="C256" s="4">
        <v>25641</v>
      </c>
      <c r="D256" s="4">
        <v>25641</v>
      </c>
      <c r="E256" s="4">
        <v>25641</v>
      </c>
      <c r="F256" s="4">
        <v>25641</v>
      </c>
      <c r="G256" s="4">
        <v>25641</v>
      </c>
      <c r="H256" s="4">
        <v>25641</v>
      </c>
      <c r="I256" s="4">
        <v>30641</v>
      </c>
      <c r="J256" s="4">
        <v>35641</v>
      </c>
      <c r="K256" s="4">
        <v>40641</v>
      </c>
      <c r="L256" s="4">
        <v>45641</v>
      </c>
      <c r="M256" s="48">
        <v>25641</v>
      </c>
      <c r="N256" s="49">
        <v>25641</v>
      </c>
      <c r="T256">
        <f t="shared" si="4"/>
        <v>0</v>
      </c>
    </row>
    <row r="257" spans="1:20" ht="19" customHeight="1">
      <c r="A257" s="2" t="s">
        <v>595</v>
      </c>
      <c r="B257" s="5">
        <v>86922</v>
      </c>
      <c r="C257" s="5">
        <v>176831</v>
      </c>
      <c r="D257" s="5">
        <v>113302</v>
      </c>
      <c r="E257" s="5">
        <v>254651</v>
      </c>
      <c r="F257" s="5">
        <v>348812</v>
      </c>
      <c r="G257" s="5">
        <v>349752</v>
      </c>
      <c r="H257" s="5">
        <v>390743</v>
      </c>
      <c r="I257" s="5">
        <v>172525</v>
      </c>
      <c r="J257" s="5">
        <v>183198</v>
      </c>
      <c r="K257" s="5">
        <v>217237</v>
      </c>
      <c r="L257" s="5">
        <v>238258</v>
      </c>
      <c r="M257" s="51">
        <v>96680</v>
      </c>
      <c r="N257" s="52">
        <v>62623</v>
      </c>
      <c r="T257">
        <f t="shared" si="4"/>
        <v>0</v>
      </c>
    </row>
    <row r="258" spans="1:20" ht="19" customHeight="1">
      <c r="A258" s="2" t="s">
        <v>596</v>
      </c>
      <c r="N258" s="45"/>
      <c r="T258">
        <f t="shared" si="4"/>
        <v>0</v>
      </c>
    </row>
    <row r="259" spans="1:20" ht="19" customHeight="1">
      <c r="A259" s="3" t="s">
        <v>597</v>
      </c>
      <c r="B259" s="4">
        <v>175182</v>
      </c>
      <c r="C259" s="4">
        <v>175182</v>
      </c>
      <c r="D259" s="4">
        <v>198118</v>
      </c>
      <c r="E259" s="4">
        <v>190368</v>
      </c>
      <c r="F259" s="4">
        <v>191868</v>
      </c>
      <c r="G259" s="4">
        <v>193368</v>
      </c>
      <c r="H259" s="4">
        <v>194868</v>
      </c>
      <c r="I259" s="4">
        <v>196368</v>
      </c>
      <c r="J259" s="4">
        <v>197868</v>
      </c>
      <c r="K259" s="4">
        <v>183368</v>
      </c>
      <c r="L259" s="4">
        <v>186578</v>
      </c>
      <c r="M259" s="48">
        <v>37961</v>
      </c>
      <c r="N259" s="49">
        <v>173080</v>
      </c>
      <c r="T259">
        <f t="shared" si="4"/>
        <v>0</v>
      </c>
    </row>
    <row r="260" spans="1:20" ht="19" customHeight="1">
      <c r="A260" s="3" t="s">
        <v>598</v>
      </c>
      <c r="T260">
        <f t="shared" si="4"/>
        <v>0</v>
      </c>
    </row>
    <row r="261" spans="1:20" ht="19" customHeight="1">
      <c r="A261" s="3" t="s">
        <v>599</v>
      </c>
      <c r="B261" s="4">
        <v>183106</v>
      </c>
      <c r="C261" s="4">
        <v>326211</v>
      </c>
      <c r="D261" s="4">
        <v>230273</v>
      </c>
      <c r="E261" s="4">
        <v>164898</v>
      </c>
      <c r="F261" s="4">
        <v>166085</v>
      </c>
      <c r="G261" s="4">
        <v>165887</v>
      </c>
      <c r="H261" s="4">
        <v>187148</v>
      </c>
      <c r="I261" s="4">
        <v>220778</v>
      </c>
      <c r="J261" s="4">
        <v>292560</v>
      </c>
      <c r="K261" s="4">
        <v>273099</v>
      </c>
      <c r="L261" s="4">
        <v>330325</v>
      </c>
      <c r="M261" s="48">
        <v>28685</v>
      </c>
      <c r="N261" s="49">
        <v>119941</v>
      </c>
      <c r="T261">
        <f t="shared" si="4"/>
        <v>0</v>
      </c>
    </row>
    <row r="262" spans="1:20" ht="19" customHeight="1">
      <c r="A262" s="3" t="s">
        <v>600</v>
      </c>
      <c r="B262" s="4">
        <v>13334</v>
      </c>
      <c r="C262" s="4">
        <v>26804</v>
      </c>
      <c r="D262" s="4">
        <v>28985</v>
      </c>
      <c r="E262" s="4">
        <v>3497</v>
      </c>
      <c r="F262" s="4">
        <v>3497</v>
      </c>
      <c r="G262" s="4">
        <v>3497</v>
      </c>
      <c r="H262" s="4">
        <v>-21969</v>
      </c>
      <c r="I262" s="4">
        <v>-21969</v>
      </c>
      <c r="J262" s="4">
        <v>-21969</v>
      </c>
      <c r="K262" s="4">
        <v>-40879</v>
      </c>
      <c r="L262" s="4">
        <v>-40879</v>
      </c>
      <c r="M262" s="48">
        <v>39132</v>
      </c>
      <c r="N262" s="49">
        <v>66643</v>
      </c>
      <c r="T262">
        <f t="shared" si="4"/>
        <v>0</v>
      </c>
    </row>
    <row r="263" spans="1:20" ht="19" customHeight="1">
      <c r="A263" s="3" t="s">
        <v>601</v>
      </c>
      <c r="B263" s="4">
        <v>3438</v>
      </c>
      <c r="C263" s="4">
        <v>3438</v>
      </c>
      <c r="D263" s="4">
        <v>3438</v>
      </c>
      <c r="E263" s="4">
        <v>15438</v>
      </c>
      <c r="F263" s="4">
        <v>19438</v>
      </c>
      <c r="G263" s="4">
        <v>23438</v>
      </c>
      <c r="H263" s="4">
        <v>27438</v>
      </c>
      <c r="I263" s="4">
        <v>31438</v>
      </c>
      <c r="J263" s="4">
        <v>35438</v>
      </c>
      <c r="K263" s="4">
        <v>39438</v>
      </c>
      <c r="L263" s="4">
        <v>43438</v>
      </c>
      <c r="M263" s="48">
        <v>0</v>
      </c>
      <c r="N263" s="49">
        <v>-562</v>
      </c>
      <c r="T263">
        <f t="shared" ref="T263:T291" si="5">IF(M263&lt;0,M263,0)</f>
        <v>0</v>
      </c>
    </row>
    <row r="264" spans="1:20" ht="19" customHeight="1">
      <c r="A264" s="3" t="s">
        <v>602</v>
      </c>
      <c r="B264" s="4">
        <v>182697</v>
      </c>
      <c r="C264" s="4">
        <v>182696</v>
      </c>
      <c r="D264" s="4">
        <v>207695</v>
      </c>
      <c r="E264" s="4">
        <v>220012</v>
      </c>
      <c r="F264" s="4">
        <v>231620</v>
      </c>
      <c r="G264" s="4">
        <v>243329</v>
      </c>
      <c r="H264" s="4">
        <v>255755</v>
      </c>
      <c r="I264" s="4">
        <v>267623</v>
      </c>
      <c r="J264" s="4">
        <v>280122</v>
      </c>
      <c r="K264" s="4">
        <v>292580</v>
      </c>
      <c r="L264" s="4">
        <v>307330</v>
      </c>
      <c r="M264" s="48">
        <v>184994</v>
      </c>
      <c r="N264" s="49">
        <v>177401</v>
      </c>
      <c r="T264">
        <f t="shared" si="5"/>
        <v>0</v>
      </c>
    </row>
    <row r="265" spans="1:20" ht="19" customHeight="1">
      <c r="A265" s="3" t="s">
        <v>603</v>
      </c>
      <c r="B265" s="4">
        <v>35981</v>
      </c>
      <c r="C265" s="4">
        <v>39523</v>
      </c>
      <c r="D265" s="4">
        <v>43065</v>
      </c>
      <c r="E265" s="4">
        <v>1963</v>
      </c>
      <c r="F265" s="4">
        <v>7543</v>
      </c>
      <c r="G265" s="4">
        <v>13123</v>
      </c>
      <c r="H265" s="4">
        <v>18703</v>
      </c>
      <c r="I265" s="4">
        <v>24283</v>
      </c>
      <c r="J265" s="4">
        <v>29863</v>
      </c>
      <c r="K265" s="4">
        <v>35443</v>
      </c>
      <c r="L265" s="4">
        <v>35443</v>
      </c>
      <c r="M265" s="48">
        <v>35443</v>
      </c>
      <c r="N265" s="49">
        <v>32439</v>
      </c>
      <c r="T265">
        <f t="shared" si="5"/>
        <v>0</v>
      </c>
    </row>
    <row r="266" spans="1:20" ht="19" customHeight="1">
      <c r="A266" s="3" t="s">
        <v>604</v>
      </c>
      <c r="B266" s="4">
        <v>10000</v>
      </c>
      <c r="C266" s="4">
        <v>10000</v>
      </c>
      <c r="D266" s="4">
        <v>10000</v>
      </c>
      <c r="E266" s="4">
        <v>10000</v>
      </c>
      <c r="F266" s="4">
        <v>10000</v>
      </c>
      <c r="G266" s="4">
        <v>10000</v>
      </c>
      <c r="H266" s="4">
        <v>10000</v>
      </c>
      <c r="I266" s="4">
        <v>10000</v>
      </c>
      <c r="J266" s="4">
        <v>10000</v>
      </c>
      <c r="K266" s="4">
        <v>10000</v>
      </c>
      <c r="L266" s="4">
        <v>10000</v>
      </c>
      <c r="M266" s="48">
        <v>10000</v>
      </c>
      <c r="N266" s="49">
        <v>10000</v>
      </c>
      <c r="T266">
        <f t="shared" si="5"/>
        <v>0</v>
      </c>
    </row>
    <row r="267" spans="1:20" ht="19" customHeight="1">
      <c r="A267" s="3" t="s">
        <v>605</v>
      </c>
      <c r="B267" s="4">
        <v>241384</v>
      </c>
      <c r="C267" s="4">
        <v>241384</v>
      </c>
      <c r="D267" s="4">
        <v>241384</v>
      </c>
      <c r="E267" s="4">
        <v>241384</v>
      </c>
      <c r="F267" s="4">
        <v>241384</v>
      </c>
      <c r="G267" s="4">
        <v>241384</v>
      </c>
      <c r="H267" s="4">
        <v>241384</v>
      </c>
      <c r="I267" s="4">
        <v>241384</v>
      </c>
      <c r="J267" s="4">
        <v>241384</v>
      </c>
      <c r="K267" s="4">
        <v>241384</v>
      </c>
      <c r="L267" s="4">
        <v>241384</v>
      </c>
      <c r="M267" s="48">
        <v>269353</v>
      </c>
      <c r="N267" s="49">
        <v>241384</v>
      </c>
      <c r="T267">
        <f t="shared" si="5"/>
        <v>0</v>
      </c>
    </row>
    <row r="268" spans="1:20" ht="19" customHeight="1">
      <c r="A268" s="2" t="s">
        <v>606</v>
      </c>
      <c r="B268" s="5">
        <v>845122</v>
      </c>
      <c r="C268" s="5">
        <v>1005238</v>
      </c>
      <c r="D268" s="5">
        <v>962959</v>
      </c>
      <c r="E268" s="5">
        <v>847560</v>
      </c>
      <c r="F268" s="5">
        <v>871436</v>
      </c>
      <c r="G268" s="5">
        <v>894027</v>
      </c>
      <c r="H268" s="5">
        <v>913328</v>
      </c>
      <c r="I268" s="5">
        <v>969906</v>
      </c>
      <c r="J268" s="5">
        <v>1065267</v>
      </c>
      <c r="K268" s="5">
        <v>1034433</v>
      </c>
      <c r="L268" s="5">
        <v>1113619</v>
      </c>
      <c r="M268" s="51">
        <v>605568</v>
      </c>
      <c r="N268" s="52">
        <v>820326</v>
      </c>
      <c r="T268">
        <f t="shared" si="5"/>
        <v>0</v>
      </c>
    </row>
    <row r="269" spans="1:20" ht="19" customHeight="1">
      <c r="N269" s="45"/>
      <c r="T269">
        <f t="shared" si="5"/>
        <v>0</v>
      </c>
    </row>
    <row r="270" spans="1:20" ht="19" customHeight="1">
      <c r="A270" s="1" t="s">
        <v>607</v>
      </c>
      <c r="B270" s="11">
        <v>3335605</v>
      </c>
      <c r="C270" s="11">
        <v>3158365</v>
      </c>
      <c r="D270" s="11">
        <v>3010419</v>
      </c>
      <c r="E270" s="11">
        <v>3135240</v>
      </c>
      <c r="F270" s="11">
        <v>3125611</v>
      </c>
      <c r="G270" s="11">
        <v>3332477</v>
      </c>
      <c r="H270" s="11">
        <v>3867143</v>
      </c>
      <c r="I270" s="11">
        <v>3684504</v>
      </c>
      <c r="J270" s="11">
        <v>3712892</v>
      </c>
      <c r="K270" s="11">
        <v>3577786</v>
      </c>
      <c r="L270" s="11">
        <v>3543474</v>
      </c>
      <c r="M270" s="53">
        <v>3001720</v>
      </c>
      <c r="N270" s="54">
        <v>4004288</v>
      </c>
      <c r="O270" s="59" t="s">
        <v>644</v>
      </c>
      <c r="T270">
        <f t="shared" si="5"/>
        <v>0</v>
      </c>
    </row>
    <row r="271" spans="1:20" ht="19" customHeight="1">
      <c r="N271" s="45"/>
      <c r="T271">
        <f t="shared" si="5"/>
        <v>0</v>
      </c>
    </row>
    <row r="272" spans="1:20" ht="19" customHeight="1">
      <c r="A272" s="2" t="s">
        <v>608</v>
      </c>
      <c r="N272" s="45"/>
      <c r="T272">
        <f t="shared" si="5"/>
        <v>0</v>
      </c>
    </row>
    <row r="273" spans="1:20" ht="19" customHeight="1">
      <c r="A273" s="3" t="s">
        <v>609</v>
      </c>
      <c r="T273">
        <f t="shared" si="5"/>
        <v>0</v>
      </c>
    </row>
    <row r="274" spans="1:20" ht="19" customHeight="1">
      <c r="A274" s="3" t="s">
        <v>610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8">
        <v>0</v>
      </c>
      <c r="N274" s="49">
        <v>0</v>
      </c>
      <c r="T274">
        <f t="shared" si="5"/>
        <v>0</v>
      </c>
    </row>
    <row r="275" spans="1:20" ht="19" customHeight="1">
      <c r="A275" s="3" t="s">
        <v>611</v>
      </c>
      <c r="T275">
        <f t="shared" si="5"/>
        <v>0</v>
      </c>
    </row>
    <row r="276" spans="1:20" ht="19" customHeight="1">
      <c r="A276" s="3" t="s">
        <v>612</v>
      </c>
      <c r="T276">
        <f t="shared" si="5"/>
        <v>0</v>
      </c>
    </row>
    <row r="277" spans="1:20" ht="19" customHeight="1">
      <c r="A277" s="3" t="s">
        <v>613</v>
      </c>
      <c r="T277">
        <f t="shared" si="5"/>
        <v>0</v>
      </c>
    </row>
    <row r="278" spans="1:20" ht="19" customHeight="1">
      <c r="A278" s="3" t="s">
        <v>614</v>
      </c>
      <c r="B278" s="4">
        <v>89</v>
      </c>
      <c r="C278" s="4">
        <v>89</v>
      </c>
      <c r="D278" s="4">
        <v>89</v>
      </c>
      <c r="E278" s="4">
        <v>89</v>
      </c>
      <c r="F278" s="4">
        <v>89</v>
      </c>
      <c r="G278" s="4">
        <v>89</v>
      </c>
      <c r="H278" s="4">
        <v>89</v>
      </c>
      <c r="I278" s="4">
        <v>89</v>
      </c>
      <c r="J278" s="4">
        <v>89</v>
      </c>
      <c r="K278" s="4">
        <v>89</v>
      </c>
      <c r="L278" s="4">
        <v>89</v>
      </c>
      <c r="M278" s="48">
        <v>89</v>
      </c>
      <c r="N278" s="49">
        <v>89</v>
      </c>
      <c r="T278">
        <f t="shared" si="5"/>
        <v>0</v>
      </c>
    </row>
    <row r="279" spans="1:20" ht="19" customHeight="1">
      <c r="A279" s="3" t="s">
        <v>615</v>
      </c>
      <c r="T279">
        <f t="shared" si="5"/>
        <v>0</v>
      </c>
    </row>
    <row r="280" spans="1:20" ht="19" customHeight="1">
      <c r="A280" s="3" t="s">
        <v>616</v>
      </c>
      <c r="T280">
        <f t="shared" si="5"/>
        <v>0</v>
      </c>
    </row>
    <row r="281" spans="1:20" ht="19" customHeight="1">
      <c r="A281" s="3" t="s">
        <v>617</v>
      </c>
      <c r="B281" s="4">
        <v>-7507</v>
      </c>
      <c r="C281" s="4">
        <v>-7507</v>
      </c>
      <c r="D281" s="4">
        <v>-11430</v>
      </c>
      <c r="E281" s="4">
        <v>-11430</v>
      </c>
      <c r="F281" s="4">
        <v>-11430</v>
      </c>
      <c r="G281" s="4">
        <v>-11430</v>
      </c>
      <c r="H281" s="4">
        <v>-11430</v>
      </c>
      <c r="I281" s="4">
        <v>-11430</v>
      </c>
      <c r="J281" s="4">
        <v>-11430</v>
      </c>
      <c r="K281" s="4">
        <v>-11430</v>
      </c>
      <c r="L281" s="4">
        <v>-11430</v>
      </c>
      <c r="M281" s="48">
        <v>-11430</v>
      </c>
      <c r="N281" s="49">
        <v>-7507</v>
      </c>
      <c r="T281">
        <f t="shared" si="5"/>
        <v>-11430</v>
      </c>
    </row>
    <row r="282" spans="1:20" ht="19" customHeight="1">
      <c r="A282" s="3" t="s">
        <v>618</v>
      </c>
      <c r="B282" s="4">
        <v>-584452</v>
      </c>
      <c r="C282" s="4">
        <v>-594612</v>
      </c>
      <c r="D282" s="4">
        <v>-598099</v>
      </c>
      <c r="E282" s="4">
        <v>-605243</v>
      </c>
      <c r="F282" s="4">
        <v>-608483</v>
      </c>
      <c r="G282" s="4">
        <v>-609482</v>
      </c>
      <c r="H282" s="4">
        <v>-640787</v>
      </c>
      <c r="I282" s="4">
        <v>-648337</v>
      </c>
      <c r="J282" s="4">
        <v>-654693</v>
      </c>
      <c r="K282" s="4">
        <v>-661494</v>
      </c>
      <c r="L282" s="4">
        <v>-726930</v>
      </c>
      <c r="M282" s="48">
        <v>-755617</v>
      </c>
      <c r="N282" s="49">
        <v>-564259</v>
      </c>
      <c r="T282">
        <f t="shared" si="5"/>
        <v>-755617</v>
      </c>
    </row>
    <row r="283" spans="1:20" ht="19" customHeight="1">
      <c r="A283" s="3" t="s">
        <v>671</v>
      </c>
      <c r="K283" s="4">
        <v>-972785</v>
      </c>
      <c r="L283" s="4">
        <v>-3321945</v>
      </c>
      <c r="M283" s="48">
        <v>-3186078</v>
      </c>
      <c r="N283" s="49"/>
      <c r="T283">
        <f t="shared" si="5"/>
        <v>-3186078</v>
      </c>
    </row>
    <row r="284" spans="1:20" ht="19" customHeight="1">
      <c r="A284" s="3" t="s">
        <v>619</v>
      </c>
      <c r="B284" s="4">
        <v>-765118</v>
      </c>
      <c r="C284" s="4">
        <v>-785411</v>
      </c>
      <c r="D284" s="4">
        <v>-807973</v>
      </c>
      <c r="E284" s="4">
        <v>-813516</v>
      </c>
      <c r="F284" s="4">
        <v>-820570</v>
      </c>
      <c r="G284" s="4">
        <v>-827611</v>
      </c>
      <c r="H284" s="4">
        <v>-829999</v>
      </c>
      <c r="I284" s="4">
        <v>-839101</v>
      </c>
      <c r="J284" s="4">
        <v>-842599</v>
      </c>
      <c r="K284" s="4">
        <v>-858780</v>
      </c>
      <c r="L284" s="4">
        <v>-864618</v>
      </c>
      <c r="M284" s="48">
        <v>-900020</v>
      </c>
      <c r="N284" s="49">
        <v>-738093</v>
      </c>
      <c r="T284">
        <f t="shared" si="5"/>
        <v>-900020</v>
      </c>
    </row>
    <row r="285" spans="1:20" ht="19" customHeight="1">
      <c r="A285" s="3" t="s">
        <v>620</v>
      </c>
      <c r="D285" s="4">
        <v>-1496</v>
      </c>
      <c r="E285" s="4">
        <v>-2903</v>
      </c>
      <c r="F285" s="4">
        <v>-3404</v>
      </c>
      <c r="G285" s="4">
        <v>-3726</v>
      </c>
      <c r="H285" s="4">
        <v>-3726</v>
      </c>
      <c r="I285" s="4">
        <v>-4483</v>
      </c>
      <c r="J285" s="4">
        <v>-6080</v>
      </c>
      <c r="K285" s="4">
        <v>-6080</v>
      </c>
      <c r="L285" s="4">
        <v>-7831</v>
      </c>
      <c r="M285" s="48">
        <v>-13750</v>
      </c>
      <c r="T285">
        <f t="shared" si="5"/>
        <v>-13750</v>
      </c>
    </row>
    <row r="286" spans="1:20" ht="19" customHeight="1">
      <c r="A286" s="3" t="s">
        <v>621</v>
      </c>
      <c r="B286" s="4">
        <v>-113596</v>
      </c>
      <c r="C286" s="4">
        <v>-118317</v>
      </c>
      <c r="D286" s="4">
        <v>-118399</v>
      </c>
      <c r="E286" s="4">
        <v>-118442</v>
      </c>
      <c r="F286" s="4">
        <v>-118442</v>
      </c>
      <c r="G286" s="4">
        <v>-118554</v>
      </c>
      <c r="H286" s="4">
        <v>-119002</v>
      </c>
      <c r="I286" s="4">
        <v>-119002</v>
      </c>
      <c r="J286" s="4">
        <v>-119002</v>
      </c>
      <c r="K286" s="4">
        <v>-119002</v>
      </c>
      <c r="L286" s="4">
        <v>-121500</v>
      </c>
      <c r="M286" s="48">
        <v>-122449</v>
      </c>
      <c r="N286" s="49">
        <v>-106178</v>
      </c>
      <c r="T286">
        <f t="shared" si="5"/>
        <v>-122449</v>
      </c>
    </row>
    <row r="287" spans="1:20" ht="19" customHeight="1">
      <c r="A287" s="3" t="s">
        <v>622</v>
      </c>
      <c r="D287" s="4">
        <v>-248</v>
      </c>
      <c r="E287" s="4">
        <v>-320</v>
      </c>
      <c r="F287" s="4">
        <v>-670</v>
      </c>
      <c r="G287" s="4">
        <v>-670</v>
      </c>
      <c r="H287" s="4">
        <v>-670</v>
      </c>
      <c r="I287" s="4">
        <v>-670</v>
      </c>
      <c r="J287" s="4">
        <v>-670</v>
      </c>
      <c r="K287" s="4">
        <v>-670</v>
      </c>
      <c r="L287" s="4">
        <v>-670</v>
      </c>
      <c r="M287" s="48">
        <v>-670</v>
      </c>
      <c r="T287">
        <f t="shared" si="5"/>
        <v>-670</v>
      </c>
    </row>
    <row r="288" spans="1:20" ht="19" customHeight="1">
      <c r="A288" s="3" t="s">
        <v>623</v>
      </c>
      <c r="T288">
        <f t="shared" si="5"/>
        <v>0</v>
      </c>
    </row>
    <row r="289" spans="1:20" ht="19" customHeight="1">
      <c r="A289" s="3" t="s">
        <v>624</v>
      </c>
      <c r="N289" s="45"/>
      <c r="T289">
        <f t="shared" si="5"/>
        <v>0</v>
      </c>
    </row>
    <row r="290" spans="1:20" ht="19" customHeight="1">
      <c r="A290" s="3" t="s">
        <v>625</v>
      </c>
      <c r="B290" s="4">
        <v>872012</v>
      </c>
      <c r="C290" s="4">
        <v>872012</v>
      </c>
      <c r="D290" s="4">
        <v>872012</v>
      </c>
      <c r="E290" s="4">
        <v>872012</v>
      </c>
      <c r="F290" s="4">
        <v>872012</v>
      </c>
      <c r="G290" s="4">
        <v>872012</v>
      </c>
      <c r="H290" s="4">
        <v>872012</v>
      </c>
      <c r="I290" s="4">
        <v>872012</v>
      </c>
      <c r="J290" s="4">
        <v>872012</v>
      </c>
      <c r="K290" s="4">
        <v>872012</v>
      </c>
      <c r="L290" s="4">
        <v>872012</v>
      </c>
      <c r="M290" s="48">
        <v>602659</v>
      </c>
      <c r="N290" s="49">
        <v>872012</v>
      </c>
      <c r="T290">
        <f t="shared" si="5"/>
        <v>0</v>
      </c>
    </row>
    <row r="291" spans="1:20" ht="19" customHeight="1">
      <c r="A291" s="3" t="s">
        <v>626</v>
      </c>
      <c r="B291" s="4">
        <v>872012</v>
      </c>
      <c r="C291" s="4">
        <v>872012</v>
      </c>
      <c r="D291" s="4">
        <v>872012</v>
      </c>
      <c r="E291" s="4">
        <v>872012</v>
      </c>
      <c r="F291" s="4">
        <v>872012</v>
      </c>
      <c r="G291" s="4">
        <v>872012</v>
      </c>
      <c r="H291" s="4">
        <v>872012</v>
      </c>
      <c r="I291" s="4">
        <v>872012</v>
      </c>
      <c r="J291" s="4">
        <v>872012</v>
      </c>
      <c r="K291" s="4">
        <v>872012</v>
      </c>
      <c r="L291" s="4">
        <v>872012</v>
      </c>
      <c r="M291" s="48">
        <v>602659</v>
      </c>
      <c r="N291" s="49">
        <v>872012</v>
      </c>
      <c r="T291">
        <f t="shared" si="5"/>
        <v>0</v>
      </c>
    </row>
    <row r="292" spans="1:20" ht="19" customHeight="1">
      <c r="A292" s="2" t="s">
        <v>627</v>
      </c>
      <c r="B292" s="5">
        <v>-598571</v>
      </c>
      <c r="C292" s="5">
        <v>-633747</v>
      </c>
      <c r="D292" s="5">
        <v>-665542</v>
      </c>
      <c r="E292" s="5">
        <v>-679752</v>
      </c>
      <c r="F292" s="5">
        <v>-690897</v>
      </c>
      <c r="G292" s="5">
        <v>-699372</v>
      </c>
      <c r="H292" s="5">
        <v>-733512</v>
      </c>
      <c r="I292" s="5">
        <v>-750921</v>
      </c>
      <c r="J292" s="5">
        <v>-762373</v>
      </c>
      <c r="K292" s="5">
        <v>-1758140</v>
      </c>
      <c r="L292" s="5">
        <v>-4182824</v>
      </c>
      <c r="M292" s="51">
        <v>-4387265</v>
      </c>
      <c r="N292" s="52">
        <v>-543936</v>
      </c>
      <c r="T292">
        <f>SUM(T1:T291)</f>
        <v>-8915139</v>
      </c>
    </row>
    <row r="293" spans="1:20" ht="19" customHeight="1">
      <c r="N293" s="45"/>
      <c r="T293" s="60">
        <f>M294-T292</f>
        <v>7529594</v>
      </c>
    </row>
    <row r="294" spans="1:20" ht="19" customHeight="1">
      <c r="A294" s="1" t="s">
        <v>628</v>
      </c>
      <c r="B294" s="11">
        <v>2737034</v>
      </c>
      <c r="C294" s="11">
        <v>2524618</v>
      </c>
      <c r="D294" s="11">
        <v>2344876</v>
      </c>
      <c r="E294" s="11">
        <v>2455488</v>
      </c>
      <c r="F294" s="11">
        <v>2434714</v>
      </c>
      <c r="G294" s="11">
        <v>2633105</v>
      </c>
      <c r="H294" s="11">
        <v>3133632</v>
      </c>
      <c r="I294" s="11">
        <v>2933584</v>
      </c>
      <c r="J294" s="11">
        <v>2950519</v>
      </c>
      <c r="K294" s="11">
        <v>1819646</v>
      </c>
      <c r="L294" s="11">
        <v>-639350</v>
      </c>
      <c r="M294" s="53">
        <v>-1385545</v>
      </c>
      <c r="N294" s="54">
        <v>3460352</v>
      </c>
    </row>
    <row r="295" spans="1:20" ht="19" customHeight="1">
      <c r="N295" s="45"/>
    </row>
    <row r="296" spans="1:20" ht="19" customHeight="1">
      <c r="A296" s="1" t="s">
        <v>629</v>
      </c>
      <c r="B296" s="11">
        <v>9076100</v>
      </c>
      <c r="C296" s="11">
        <v>9083359</v>
      </c>
      <c r="D296" s="11">
        <v>8941078</v>
      </c>
      <c r="E296" s="11">
        <v>8738548</v>
      </c>
      <c r="F296" s="11">
        <v>8799966</v>
      </c>
      <c r="G296" s="11">
        <v>8532473</v>
      </c>
      <c r="H296" s="11">
        <v>8425806</v>
      </c>
      <c r="I296" s="11">
        <v>8531420</v>
      </c>
      <c r="J296" s="11">
        <v>8627642</v>
      </c>
      <c r="K296" s="11">
        <v>8576973</v>
      </c>
      <c r="L296" s="11">
        <v>8240265</v>
      </c>
      <c r="M296" s="53">
        <v>8380606</v>
      </c>
      <c r="N296" s="54">
        <v>9469041</v>
      </c>
    </row>
    <row r="297" spans="1:20" ht="19" customHeight="1">
      <c r="N297" s="45"/>
    </row>
    <row r="298" spans="1:20" ht="19" customHeight="1">
      <c r="A298" s="2" t="s">
        <v>630</v>
      </c>
      <c r="N298" s="45"/>
    </row>
    <row r="299" spans="1:20" ht="19" customHeight="1">
      <c r="A299" s="2" t="s">
        <v>631</v>
      </c>
      <c r="N299" s="45"/>
    </row>
    <row r="300" spans="1:20" ht="19" customHeight="1">
      <c r="A300" s="3" t="s">
        <v>632</v>
      </c>
      <c r="B300" s="4">
        <v>11353085</v>
      </c>
      <c r="C300" s="4">
        <v>11353085</v>
      </c>
      <c r="D300" s="4">
        <v>11353085</v>
      </c>
      <c r="E300" s="4">
        <v>11350777</v>
      </c>
      <c r="F300" s="4">
        <v>11371325</v>
      </c>
      <c r="G300" s="4">
        <v>11371325</v>
      </c>
      <c r="H300" s="4">
        <v>11371325</v>
      </c>
      <c r="I300" s="4">
        <v>11371325</v>
      </c>
      <c r="J300" s="4">
        <v>11371325</v>
      </c>
      <c r="K300" s="4">
        <v>11371325</v>
      </c>
      <c r="L300" s="4">
        <v>11371325</v>
      </c>
      <c r="M300" s="48">
        <v>11371325</v>
      </c>
      <c r="N300" s="49">
        <v>11353085</v>
      </c>
    </row>
    <row r="301" spans="1:20" ht="19" customHeight="1">
      <c r="A301" s="3" t="s">
        <v>633</v>
      </c>
    </row>
    <row r="302" spans="1:20" ht="19" customHeight="1">
      <c r="A302" s="3" t="s">
        <v>634</v>
      </c>
    </row>
    <row r="303" spans="1:20" ht="19" customHeight="1" thickBot="1">
      <c r="A303" s="2" t="s">
        <v>635</v>
      </c>
      <c r="B303" s="5">
        <v>11353085</v>
      </c>
      <c r="C303" s="5">
        <v>11353085</v>
      </c>
      <c r="D303" s="5">
        <v>11353085</v>
      </c>
      <c r="E303" s="5">
        <v>11350777</v>
      </c>
      <c r="F303" s="5">
        <v>11371325</v>
      </c>
      <c r="G303" s="5">
        <v>11371325</v>
      </c>
      <c r="H303" s="5">
        <v>11371325</v>
      </c>
      <c r="I303" s="5">
        <v>11371325</v>
      </c>
      <c r="J303" s="5">
        <v>11371325</v>
      </c>
      <c r="K303" s="5">
        <v>11371325</v>
      </c>
      <c r="L303" s="5">
        <v>11371325</v>
      </c>
      <c r="M303" s="51">
        <v>11371325</v>
      </c>
      <c r="N303" s="52">
        <v>11353085</v>
      </c>
    </row>
    <row r="304" spans="1:20" ht="19" customHeight="1">
      <c r="A304" s="3" t="s">
        <v>636</v>
      </c>
      <c r="B304" s="4">
        <v>-1884043</v>
      </c>
      <c r="C304" s="4">
        <v>-1884043</v>
      </c>
      <c r="D304" s="4">
        <v>-1884043</v>
      </c>
      <c r="E304" s="4">
        <v>-1884043</v>
      </c>
      <c r="F304" s="4">
        <v>-1884043</v>
      </c>
      <c r="G304" s="4">
        <v>-1884043</v>
      </c>
      <c r="H304" s="4">
        <v>-1884043</v>
      </c>
      <c r="I304" s="4">
        <v>-1884043</v>
      </c>
      <c r="J304" s="4">
        <v>-1884043</v>
      </c>
      <c r="K304" s="4">
        <v>-1884043</v>
      </c>
      <c r="L304" s="4">
        <v>-1884043</v>
      </c>
      <c r="M304" s="48">
        <v>-1884043</v>
      </c>
      <c r="N304" s="55">
        <v>-1433632</v>
      </c>
    </row>
    <row r="305" spans="1:15" ht="19" customHeight="1" thickBot="1">
      <c r="A305" s="3" t="s">
        <v>637</v>
      </c>
      <c r="B305" s="4">
        <v>-392941</v>
      </c>
      <c r="C305" s="4">
        <v>-385683</v>
      </c>
      <c r="D305" s="4">
        <v>-527963</v>
      </c>
      <c r="E305" s="4">
        <v>-728185</v>
      </c>
      <c r="F305" s="4">
        <v>-687315</v>
      </c>
      <c r="G305" s="4">
        <v>-954809</v>
      </c>
      <c r="H305" s="4">
        <v>-1061475</v>
      </c>
      <c r="I305" s="4">
        <v>-955861</v>
      </c>
      <c r="J305" s="4">
        <v>-859639</v>
      </c>
      <c r="K305" s="4">
        <v>-910308</v>
      </c>
      <c r="L305" s="4">
        <v>-1247016</v>
      </c>
      <c r="M305" s="48">
        <v>-1106675</v>
      </c>
      <c r="N305" s="56">
        <v>-450411</v>
      </c>
      <c r="O305" s="57" t="s">
        <v>638</v>
      </c>
    </row>
    <row r="306" spans="1:15" ht="19" customHeight="1">
      <c r="A306" s="1" t="s">
        <v>639</v>
      </c>
      <c r="B306" s="11">
        <v>9076100</v>
      </c>
      <c r="C306" s="11">
        <v>9083359</v>
      </c>
      <c r="D306" s="11">
        <v>8941078</v>
      </c>
      <c r="E306" s="11">
        <v>8738548</v>
      </c>
      <c r="F306" s="11">
        <v>8799966</v>
      </c>
      <c r="G306" s="11">
        <v>8532473</v>
      </c>
      <c r="H306" s="11">
        <v>8425806</v>
      </c>
      <c r="I306" s="11">
        <v>8531420</v>
      </c>
      <c r="J306" s="11">
        <v>8627642</v>
      </c>
      <c r="K306" s="11">
        <v>8576973</v>
      </c>
      <c r="L306" s="11">
        <v>8240265</v>
      </c>
      <c r="M306" s="53">
        <v>8380606</v>
      </c>
      <c r="N306" s="54">
        <v>9469041</v>
      </c>
    </row>
    <row r="307" spans="1:15" ht="19" customHeight="1">
      <c r="N307" s="45"/>
    </row>
    <row r="308" spans="1:15" ht="19" customHeight="1">
      <c r="A308" s="3" t="s">
        <v>640</v>
      </c>
      <c r="B308" s="4">
        <v>0</v>
      </c>
      <c r="C308" s="4">
        <v>-3.7252902984619099E-9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1.8626451492309599E-9</v>
      </c>
      <c r="J308" s="4">
        <v>0</v>
      </c>
      <c r="K308" s="4">
        <v>1.8626451492309599E-9</v>
      </c>
      <c r="L308" s="4">
        <v>9.3132257461547893E-10</v>
      </c>
      <c r="M308" s="48">
        <v>0</v>
      </c>
      <c r="N308" s="49">
        <v>0</v>
      </c>
    </row>
    <row r="311" spans="1:15" ht="19" customHeight="1">
      <c r="O311" s="59" t="s">
        <v>645</v>
      </c>
    </row>
    <row r="312" spans="1:15" ht="19" customHeight="1">
      <c r="O312" s="58">
        <f>N286+N284+N282+N281+N263+N255+N254+N247+N245+N244+N235+N232+N222+N211+N206+N205+N202+N200+N181+N173+N16</f>
        <v>-3051966</v>
      </c>
    </row>
  </sheetData>
  <mergeCells count="1">
    <mergeCell ref="P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B5D6D0C108348BE2EBFBFBEFADAB3" ma:contentTypeVersion="27" ma:contentTypeDescription="Create a new document." ma:contentTypeScope="" ma:versionID="3c894ab9f0b4a41317abc05c11ef0a78">
  <xsd:schema xmlns:xsd="http://www.w3.org/2001/XMLSchema" xmlns:xs="http://www.w3.org/2001/XMLSchema" xmlns:p="http://schemas.microsoft.com/office/2006/metadata/properties" xmlns:ns1="http://schemas.microsoft.com/sharepoint/v3" xmlns:ns2="6345aa5a-8490-4702-9d5a-94ef819ecc17" xmlns:ns3="f70b1507-b0b1-4527-b9f0-524937b88efc" targetNamespace="http://schemas.microsoft.com/office/2006/metadata/properties" ma:root="true" ma:fieldsID="2d9328ad205b6ec8d9cb27e31ff6a5d9" ns1:_="" ns2:_="" ns3:_="">
    <xsd:import namespace="http://schemas.microsoft.com/sharepoint/v3"/>
    <xsd:import namespace="6345aa5a-8490-4702-9d5a-94ef819ecc17"/>
    <xsd:import namespace="f70b1507-b0b1-4527-b9f0-524937b88ef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1:_dlc_Exempt" minOccurs="0"/>
                <xsd:element ref="ns1:_dlc_ExpireDateSaved" minOccurs="0"/>
                <xsd:element ref="ns1:_dlc_ExpireDate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5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6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7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5aa5a-8490-4702-9d5a-94ef819ecc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20d664fb-1785-4d53-9d12-f0b9832eee7f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42f5578-8cba-4f05-ad1d-feca4fa48ab2}" ma:internalName="TaxCatchAll" ma:showField="CatchAllData" ma:web="6345aa5a-8490-4702-9d5a-94ef819ecc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b1507-b0b1-4527-b9f0-524937b88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20d664fb-1785-4d53-9d12-f0b9832eee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pireDateSaved xmlns="http://schemas.microsoft.com/sharepoint/v3" xsi:nil="true"/>
    <_dlc_ExpireDate xmlns="http://schemas.microsoft.com/sharepoint/v3">2029-02-26T00:27:10+00:00</_dlc_ExpireDate>
    <TaxCatchAll xmlns="6345aa5a-8490-4702-9d5a-94ef819ecc17" xsi:nil="true"/>
    <TaxKeywordTaxHTField xmlns="6345aa5a-8490-4702-9d5a-94ef819ecc17">
      <Terms xmlns="http://schemas.microsoft.com/office/infopath/2007/PartnerControls"/>
    </TaxKeywordTaxHTField>
    <lcf76f155ced4ddcb4097134ff3c332f xmlns="f70b1507-b0b1-4527-b9f0-524937b88e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Expiration" staticId="0x010100570B5D6D0C108348BE2EBFBFBEFADAB3|-1783046539" UniqueId="dce93997-b310-43de-858f-29043271fdbd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5</number>
                  <property>Created</property>
                  <propertyId>8c06beca-0777-48f7-91c7-6da68bc07b69</propertyId>
                  <period>years</period>
                </formula>
                <action type="action" id="Microsoft.Office.RecordsManagement.PolicyFeatures.Expiration.Action.MoveToRecycleBin"/>
              </data>
            </stages>
          </Schedule>
        </Schedules>
      </p:CustomData>
    </p:PolicyItem>
    <p:PolicyItem featureId="Microsoft.Office.RecordsManagement.PolicyFeatures.PolicyAudit" staticId="0x010100570B5D6D0C108348BE2EBFBFBEFADAB3|1757814118" UniqueId="b2761190-2a45-4b7f-b2e9-be760ab7a0e1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F0F2880-73AF-4AE0-A455-EC3E3DD7B2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345aa5a-8490-4702-9d5a-94ef819ecc17"/>
    <ds:schemaRef ds:uri="f70b1507-b0b1-4527-b9f0-524937b88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2FB7B3-8B03-4236-9C2F-C8E7D4A9772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345aa5a-8490-4702-9d5a-94ef819ecc17"/>
    <ds:schemaRef ds:uri="f70b1507-b0b1-4527-b9f0-524937b88efc"/>
  </ds:schemaRefs>
</ds:datastoreItem>
</file>

<file path=customXml/itemProps3.xml><?xml version="1.0" encoding="utf-8"?>
<ds:datastoreItem xmlns:ds="http://schemas.openxmlformats.org/officeDocument/2006/customXml" ds:itemID="{9F3B0C97-6946-4087-AAED-CAFCF3F7CE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ABEAC39-DB47-47F0-91F9-BEEF05332980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</dc:creator>
  <cp:lastModifiedBy>Cindy Dong</cp:lastModifiedBy>
  <dcterms:created xsi:type="dcterms:W3CDTF">2024-02-26T00:13:14Z</dcterms:created>
  <dcterms:modified xsi:type="dcterms:W3CDTF">2026-05-20T23:27:47Z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0x010100570B5D6D0C108348BE2EBFBFBEFADAB3|-1783046539</vt:lpwstr>
  </property>
  <property fmtid="{D5CDD505-2E9C-101B-9397-08002B2CF9AE}" pid="3" name="ContentTypeId">
    <vt:lpwstr>0x010100570B5D6D0C108348BE2EBFBFBEFADAB3</vt:lpwstr>
  </property>
  <property fmtid="{D5CDD505-2E9C-101B-9397-08002B2CF9AE}" pid="4" name="ItemRetentionFormula">
    <vt:lpwstr>&lt;formula id="Microsoft.Office.RecordsManagement.PolicyFeatures.Expiration.Formula.BuiltIn"&gt;&lt;number&gt;5&lt;/number&gt;&lt;property&gt;Created&lt;/property&gt;&lt;propertyId&gt;8c06beca-0777-48f7-91c7-6da68bc07b69&lt;/propertyId&gt;&lt;period&gt;years&lt;/period&gt;&lt;/formula&gt;</vt:lpwstr>
  </property>
  <property fmtid="{D5CDD505-2E9C-101B-9397-08002B2CF9AE}" pid="5" name="TaxKeyword">
    <vt:lpwstr/>
  </property>
  <property fmtid="{D5CDD505-2E9C-101B-9397-08002B2CF9AE}" pid="6" name="MediaServiceImageTags">
    <vt:lpwstr/>
  </property>
</Properties>
</file>